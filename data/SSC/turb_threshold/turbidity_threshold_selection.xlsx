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sediment_trap_paper\data\SSC\turb_threshold\"/>
    </mc:Choice>
  </mc:AlternateContent>
  <xr:revisionPtr revIDLastSave="0" documentId="13_ncr:1_{ABD8D7B4-923A-4CCA-805B-DAE78BEF9F23}" xr6:coauthVersionLast="47" xr6:coauthVersionMax="47" xr10:uidLastSave="{00000000-0000-0000-0000-000000000000}"/>
  <bookViews>
    <workbookView xWindow="22932" yWindow="-108" windowWidth="23256" windowHeight="12456" xr2:uid="{54B3BA04-87A9-4FFC-AD84-7319B42309EF}"/>
  </bookViews>
  <sheets>
    <sheet name="SSC-turb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R13" i="5" l="1"/>
  <c r="R12" i="5"/>
  <c r="R11" i="5"/>
  <c r="R10" i="5"/>
  <c r="R6" i="5"/>
  <c r="R5" i="5"/>
  <c r="R4" i="5"/>
  <c r="R3" i="5"/>
  <c r="H6" i="5"/>
  <c r="H5" i="5"/>
  <c r="H12" i="5"/>
  <c r="H4" i="5"/>
  <c r="H3" i="5"/>
  <c r="H13" i="5"/>
  <c r="H11" i="5"/>
  <c r="H10" i="5"/>
</calcChain>
</file>

<file path=xl/sharedStrings.xml><?xml version="1.0" encoding="utf-8"?>
<sst xmlns="http://schemas.openxmlformats.org/spreadsheetml/2006/main" count="34" uniqueCount="12">
  <si>
    <t>Date_Time</t>
  </si>
  <si>
    <t>SSC (mg/L)</t>
  </si>
  <si>
    <t>min</t>
  </si>
  <si>
    <t>max</t>
  </si>
  <si>
    <t>avg</t>
  </si>
  <si>
    <t>median</t>
  </si>
  <si>
    <t>LabID</t>
  </si>
  <si>
    <t>SSC (uL/L)</t>
  </si>
  <si>
    <t>TurbClean</t>
  </si>
  <si>
    <t>-</t>
  </si>
  <si>
    <t>spring - uL/L &gt; 0</t>
  </si>
  <si>
    <t>spring - uL/L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</si>
</sst>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'SSC-turb'!$E$31:$E$73</c:f>
              <c:numCache>
                <c:formatCode>0.00</c:formatCode>
                <c:ptCount val="43"/>
                <c:pt idx="0">
                  <c:v>10.7502079333333</c:v>
                </c:pt>
                <c:pt idx="1">
                  <c:v>11.983668140000001</c:v>
                </c:pt>
                <c:pt idx="2">
                  <c:v>10.820681333333299</c:v>
                </c:pt>
                <c:pt idx="3">
                  <c:v>16.381029333333299</c:v>
                </c:pt>
                <c:pt idx="4">
                  <c:v>11.302605</c:v>
                </c:pt>
                <c:pt idx="5">
                  <c:v>12.379865893333299</c:v>
                </c:pt>
                <c:pt idx="6">
                  <c:v>7.9286783333333304</c:v>
                </c:pt>
                <c:pt idx="7">
                  <c:v>9.2900002666666595</c:v>
                </c:pt>
                <c:pt idx="8">
                  <c:v>10.3409056666666</c:v>
                </c:pt>
                <c:pt idx="9">
                  <c:v>6.6124433333333297</c:v>
                </c:pt>
                <c:pt idx="10">
                  <c:v>6.3972824666666597</c:v>
                </c:pt>
                <c:pt idx="11">
                  <c:v>11.1684686666666</c:v>
                </c:pt>
                <c:pt idx="12">
                  <c:v>8.2048614000000004</c:v>
                </c:pt>
                <c:pt idx="13">
                  <c:v>6.5715912934</c:v>
                </c:pt>
                <c:pt idx="14">
                  <c:v>7.3385368</c:v>
                </c:pt>
                <c:pt idx="15">
                  <c:v>8.66325026666666</c:v>
                </c:pt>
                <c:pt idx="16">
                  <c:v>10.072311133333301</c:v>
                </c:pt>
                <c:pt idx="17">
                  <c:v>6.9584305310000003</c:v>
                </c:pt>
                <c:pt idx="18">
                  <c:v>6.6294694666666603</c:v>
                </c:pt>
                <c:pt idx="19">
                  <c:v>5.5344294666666602</c:v>
                </c:pt>
                <c:pt idx="20">
                  <c:v>5.7944035333333304</c:v>
                </c:pt>
                <c:pt idx="21">
                  <c:v>8.7752321066666603</c:v>
                </c:pt>
                <c:pt idx="22">
                  <c:v>8.3964748666666598</c:v>
                </c:pt>
                <c:pt idx="23">
                  <c:v>11.483500266666599</c:v>
                </c:pt>
                <c:pt idx="24">
                  <c:v>5.4046995333333303</c:v>
                </c:pt>
                <c:pt idx="25">
                  <c:v>5.62346873333333</c:v>
                </c:pt>
                <c:pt idx="26">
                  <c:v>6.59702113333333</c:v>
                </c:pt>
                <c:pt idx="27">
                  <c:v>4.8982727333333296</c:v>
                </c:pt>
                <c:pt idx="28">
                  <c:v>12.434267999999999</c:v>
                </c:pt>
                <c:pt idx="29">
                  <c:v>8.70769666666666</c:v>
                </c:pt>
                <c:pt idx="30">
                  <c:v>10.258584000000001</c:v>
                </c:pt>
                <c:pt idx="31">
                  <c:v>7.5019323999999896</c:v>
                </c:pt>
                <c:pt idx="32">
                  <c:v>20.852958666666598</c:v>
                </c:pt>
                <c:pt idx="33">
                  <c:v>12.526063343999899</c:v>
                </c:pt>
                <c:pt idx="34">
                  <c:v>9.3400750666666603</c:v>
                </c:pt>
                <c:pt idx="35">
                  <c:v>12.602335333333301</c:v>
                </c:pt>
                <c:pt idx="36">
                  <c:v>12.6200733333333</c:v>
                </c:pt>
                <c:pt idx="37">
                  <c:v>10.38581286</c:v>
                </c:pt>
                <c:pt idx="38">
                  <c:v>8.9650455999999998</c:v>
                </c:pt>
                <c:pt idx="39">
                  <c:v>9.1913850666666601</c:v>
                </c:pt>
                <c:pt idx="40">
                  <c:v>11.1430651333333</c:v>
                </c:pt>
                <c:pt idx="41">
                  <c:v>10.366192399999999</c:v>
                </c:pt>
                <c:pt idx="42">
                  <c:v>4.5956702079999996</c:v>
                </c:pt>
              </c:numCache>
            </c:numRef>
          </c:xVal>
          <c:yVal>
            <c:numRef>
              <c:f>'SSC-turb'!$C$31:$C$73</c:f>
              <c:numCache>
                <c:formatCode>0.00</c:formatCode>
                <c:ptCount val="43"/>
                <c:pt idx="0">
                  <c:v>10</c:v>
                </c:pt>
                <c:pt idx="1">
                  <c:v>6.8181818180000002</c:v>
                </c:pt>
                <c:pt idx="2">
                  <c:v>8</c:v>
                </c:pt>
                <c:pt idx="3">
                  <c:v>12</c:v>
                </c:pt>
                <c:pt idx="4">
                  <c:v>12.222222220000001</c:v>
                </c:pt>
                <c:pt idx="5">
                  <c:v>6.875</c:v>
                </c:pt>
                <c:pt idx="6">
                  <c:v>5.3333333329999997</c:v>
                </c:pt>
                <c:pt idx="7">
                  <c:v>6</c:v>
                </c:pt>
                <c:pt idx="8">
                  <c:v>4</c:v>
                </c:pt>
                <c:pt idx="9">
                  <c:v>5.5172413789999997</c:v>
                </c:pt>
                <c:pt idx="10">
                  <c:v>7.3333333329999997</c:v>
                </c:pt>
                <c:pt idx="11">
                  <c:v>11.25</c:v>
                </c:pt>
                <c:pt idx="12">
                  <c:v>5.1612903230000002</c:v>
                </c:pt>
                <c:pt idx="13">
                  <c:v>8.5714285710000002</c:v>
                </c:pt>
                <c:pt idx="14">
                  <c:v>4.1176470590000003</c:v>
                </c:pt>
                <c:pt idx="15">
                  <c:v>7.1428571429999996</c:v>
                </c:pt>
                <c:pt idx="17">
                  <c:v>5.5172413789999997</c:v>
                </c:pt>
                <c:pt idx="18">
                  <c:v>11.33333333</c:v>
                </c:pt>
                <c:pt idx="19">
                  <c:v>6.6666666670000003</c:v>
                </c:pt>
                <c:pt idx="20">
                  <c:v>5.2941176470000002</c:v>
                </c:pt>
                <c:pt idx="21">
                  <c:v>7.5</c:v>
                </c:pt>
                <c:pt idx="22">
                  <c:v>8.125</c:v>
                </c:pt>
                <c:pt idx="23">
                  <c:v>11.612903230000001</c:v>
                </c:pt>
                <c:pt idx="24">
                  <c:v>8.125</c:v>
                </c:pt>
                <c:pt idx="25">
                  <c:v>3.75</c:v>
                </c:pt>
                <c:pt idx="26">
                  <c:v>11.25</c:v>
                </c:pt>
                <c:pt idx="27">
                  <c:v>4.6666666670000003</c:v>
                </c:pt>
                <c:pt idx="28">
                  <c:v>14.545454550000001</c:v>
                </c:pt>
                <c:pt idx="29">
                  <c:v>9.2857142859999993</c:v>
                </c:pt>
                <c:pt idx="30">
                  <c:v>6.875</c:v>
                </c:pt>
                <c:pt idx="31">
                  <c:v>2.5</c:v>
                </c:pt>
                <c:pt idx="32">
                  <c:v>14</c:v>
                </c:pt>
                <c:pt idx="33">
                  <c:v>10</c:v>
                </c:pt>
                <c:pt idx="34">
                  <c:v>8.125</c:v>
                </c:pt>
                <c:pt idx="35">
                  <c:v>13.52941176</c:v>
                </c:pt>
                <c:pt idx="36">
                  <c:v>10</c:v>
                </c:pt>
                <c:pt idx="37">
                  <c:v>4.375</c:v>
                </c:pt>
                <c:pt idx="38">
                  <c:v>3.3333333330000001</c:v>
                </c:pt>
                <c:pt idx="39">
                  <c:v>5</c:v>
                </c:pt>
                <c:pt idx="40">
                  <c:v>5.625</c:v>
                </c:pt>
                <c:pt idx="41">
                  <c:v>1.2903225810000001</c:v>
                </c:pt>
                <c:pt idx="42">
                  <c:v>2.1428571430000001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1-4B72-A0CE-82916DB02B72}"/>
            </c:ext>
          </c:extLst>
        </c:ser>
        <c:ser>
          <c:idx val="1"/>
          <c:order val="1"/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2.5235351101617055E-2"/>
                  <c:y val="-3.1615631379410904E-2"/>
                </c:manualLayout>
              </c:layout>
              <c:numFmt formatCode="General" sourceLinked="0"/>
            </c:trendlineLbl>
          </c:trendline>
          <c:xVal>
            <c:numRef>
              <c:f>'SSC-turb'!$E$6:$E$73</c:f>
              <c:numCache>
                <c:formatCode>0.00</c:formatCode>
                <c:ptCount val="68"/>
                <c:pt idx="0">
                  <c:v>28.755143333333301</c:v>
                </c:pt>
                <c:pt idx="1">
                  <c:v>17.720414000000002</c:v>
                </c:pt>
                <c:pt idx="2">
                  <c:v>10.7258193333333</c:v>
                </c:pt>
                <c:pt idx="3">
                  <c:v>11.0138553333333</c:v>
                </c:pt>
                <c:pt idx="4">
                  <c:v>9.5457912</c:v>
                </c:pt>
                <c:pt idx="5">
                  <c:v>10.8071176</c:v>
                </c:pt>
                <c:pt idx="6">
                  <c:v>13.8559305333333</c:v>
                </c:pt>
                <c:pt idx="7">
                  <c:v>11.7388058</c:v>
                </c:pt>
                <c:pt idx="8">
                  <c:v>7.8816796</c:v>
                </c:pt>
                <c:pt idx="9">
                  <c:v>9.9127162666666599</c:v>
                </c:pt>
                <c:pt idx="10">
                  <c:v>9.9371473333333302</c:v>
                </c:pt>
                <c:pt idx="11">
                  <c:v>7.85183946666666</c:v>
                </c:pt>
                <c:pt idx="12">
                  <c:v>13.0389166666666</c:v>
                </c:pt>
                <c:pt idx="13">
                  <c:v>9.26576165333333</c:v>
                </c:pt>
                <c:pt idx="14">
                  <c:v>9.8384447333333291</c:v>
                </c:pt>
                <c:pt idx="15">
                  <c:v>9.5335015999999992</c:v>
                </c:pt>
                <c:pt idx="16">
                  <c:v>40.720067999999998</c:v>
                </c:pt>
                <c:pt idx="17">
                  <c:v>20.458221333333299</c:v>
                </c:pt>
                <c:pt idx="18">
                  <c:v>8.3362107199999897</c:v>
                </c:pt>
                <c:pt idx="19">
                  <c:v>22.230606000000002</c:v>
                </c:pt>
                <c:pt idx="25">
                  <c:v>10.7502079333333</c:v>
                </c:pt>
                <c:pt idx="26">
                  <c:v>11.983668140000001</c:v>
                </c:pt>
                <c:pt idx="27">
                  <c:v>10.820681333333299</c:v>
                </c:pt>
                <c:pt idx="28">
                  <c:v>16.381029333333299</c:v>
                </c:pt>
                <c:pt idx="29">
                  <c:v>11.302605</c:v>
                </c:pt>
                <c:pt idx="30">
                  <c:v>12.379865893333299</c:v>
                </c:pt>
                <c:pt idx="31">
                  <c:v>7.9286783333333304</c:v>
                </c:pt>
                <c:pt idx="32">
                  <c:v>9.2900002666666595</c:v>
                </c:pt>
                <c:pt idx="33">
                  <c:v>10.3409056666666</c:v>
                </c:pt>
                <c:pt idx="34">
                  <c:v>6.6124433333333297</c:v>
                </c:pt>
                <c:pt idx="35">
                  <c:v>6.3972824666666597</c:v>
                </c:pt>
                <c:pt idx="36">
                  <c:v>11.1684686666666</c:v>
                </c:pt>
                <c:pt idx="37">
                  <c:v>8.2048614000000004</c:v>
                </c:pt>
                <c:pt idx="38">
                  <c:v>6.5715912934</c:v>
                </c:pt>
                <c:pt idx="39">
                  <c:v>7.3385368</c:v>
                </c:pt>
                <c:pt idx="40">
                  <c:v>8.66325026666666</c:v>
                </c:pt>
                <c:pt idx="41">
                  <c:v>10.072311133333301</c:v>
                </c:pt>
                <c:pt idx="42">
                  <c:v>6.9584305310000003</c:v>
                </c:pt>
                <c:pt idx="43">
                  <c:v>6.6294694666666603</c:v>
                </c:pt>
                <c:pt idx="44">
                  <c:v>5.5344294666666602</c:v>
                </c:pt>
                <c:pt idx="45">
                  <c:v>5.7944035333333304</c:v>
                </c:pt>
                <c:pt idx="46">
                  <c:v>8.7752321066666603</c:v>
                </c:pt>
                <c:pt idx="47">
                  <c:v>8.3964748666666598</c:v>
                </c:pt>
                <c:pt idx="48">
                  <c:v>11.483500266666599</c:v>
                </c:pt>
                <c:pt idx="49">
                  <c:v>5.4046995333333303</c:v>
                </c:pt>
                <c:pt idx="50">
                  <c:v>5.62346873333333</c:v>
                </c:pt>
                <c:pt idx="51">
                  <c:v>6.59702113333333</c:v>
                </c:pt>
                <c:pt idx="52">
                  <c:v>4.8982727333333296</c:v>
                </c:pt>
                <c:pt idx="53">
                  <c:v>12.434267999999999</c:v>
                </c:pt>
                <c:pt idx="54">
                  <c:v>8.70769666666666</c:v>
                </c:pt>
                <c:pt idx="55">
                  <c:v>10.258584000000001</c:v>
                </c:pt>
                <c:pt idx="56">
                  <c:v>7.5019323999999896</c:v>
                </c:pt>
                <c:pt idx="57">
                  <c:v>20.852958666666598</c:v>
                </c:pt>
                <c:pt idx="58">
                  <c:v>12.526063343999899</c:v>
                </c:pt>
                <c:pt idx="59">
                  <c:v>9.3400750666666603</c:v>
                </c:pt>
                <c:pt idx="60">
                  <c:v>12.602335333333301</c:v>
                </c:pt>
                <c:pt idx="61">
                  <c:v>12.6200733333333</c:v>
                </c:pt>
                <c:pt idx="62">
                  <c:v>10.38581286</c:v>
                </c:pt>
                <c:pt idx="63">
                  <c:v>8.9650455999999998</c:v>
                </c:pt>
                <c:pt idx="64">
                  <c:v>9.1913850666666601</c:v>
                </c:pt>
                <c:pt idx="65">
                  <c:v>11.1430651333333</c:v>
                </c:pt>
                <c:pt idx="66">
                  <c:v>10.366192399999999</c:v>
                </c:pt>
                <c:pt idx="67">
                  <c:v>4.5956702079999996</c:v>
                </c:pt>
              </c:numCache>
            </c:numRef>
          </c:xVal>
          <c:yVal>
            <c:numRef>
              <c:f>'SSC-turb'!$C$6:$C$73</c:f>
              <c:numCache>
                <c:formatCode>0.00</c:formatCode>
                <c:ptCount val="68"/>
                <c:pt idx="0">
                  <c:v>21.5</c:v>
                </c:pt>
                <c:pt idx="1">
                  <c:v>11.05263158</c:v>
                </c:pt>
                <c:pt idx="2">
                  <c:v>18</c:v>
                </c:pt>
                <c:pt idx="3">
                  <c:v>6.5</c:v>
                </c:pt>
                <c:pt idx="4">
                  <c:v>6</c:v>
                </c:pt>
                <c:pt idx="5">
                  <c:v>8.8888888890000004</c:v>
                </c:pt>
                <c:pt idx="6">
                  <c:v>4.6666666670000003</c:v>
                </c:pt>
                <c:pt idx="7">
                  <c:v>17.85714286</c:v>
                </c:pt>
                <c:pt idx="8">
                  <c:v>6.6666666670000003</c:v>
                </c:pt>
                <c:pt idx="9">
                  <c:v>5.3333333329999997</c:v>
                </c:pt>
                <c:pt idx="10">
                  <c:v>8</c:v>
                </c:pt>
                <c:pt idx="11">
                  <c:v>8.6666666669999994</c:v>
                </c:pt>
                <c:pt idx="12">
                  <c:v>15</c:v>
                </c:pt>
                <c:pt idx="13">
                  <c:v>7.1428571429999996</c:v>
                </c:pt>
                <c:pt idx="14">
                  <c:v>6.6666666670000003</c:v>
                </c:pt>
                <c:pt idx="15">
                  <c:v>12.66666667</c:v>
                </c:pt>
                <c:pt idx="16">
                  <c:v>45</c:v>
                </c:pt>
                <c:pt idx="17">
                  <c:v>20</c:v>
                </c:pt>
                <c:pt idx="18">
                  <c:v>10.66666667</c:v>
                </c:pt>
                <c:pt idx="19">
                  <c:v>24.375</c:v>
                </c:pt>
                <c:pt idx="25">
                  <c:v>10</c:v>
                </c:pt>
                <c:pt idx="26">
                  <c:v>6.8181818180000002</c:v>
                </c:pt>
                <c:pt idx="27">
                  <c:v>8</c:v>
                </c:pt>
                <c:pt idx="28">
                  <c:v>12</c:v>
                </c:pt>
                <c:pt idx="29">
                  <c:v>12.222222220000001</c:v>
                </c:pt>
                <c:pt idx="30">
                  <c:v>6.875</c:v>
                </c:pt>
                <c:pt idx="31">
                  <c:v>5.3333333329999997</c:v>
                </c:pt>
                <c:pt idx="32">
                  <c:v>6</c:v>
                </c:pt>
                <c:pt idx="33">
                  <c:v>4</c:v>
                </c:pt>
                <c:pt idx="34">
                  <c:v>5.5172413789999997</c:v>
                </c:pt>
                <c:pt idx="35">
                  <c:v>7.3333333329999997</c:v>
                </c:pt>
                <c:pt idx="36">
                  <c:v>11.25</c:v>
                </c:pt>
                <c:pt idx="37">
                  <c:v>5.1612903230000002</c:v>
                </c:pt>
                <c:pt idx="38">
                  <c:v>8.5714285710000002</c:v>
                </c:pt>
                <c:pt idx="39">
                  <c:v>4.1176470590000003</c:v>
                </c:pt>
                <c:pt idx="40">
                  <c:v>7.1428571429999996</c:v>
                </c:pt>
                <c:pt idx="42">
                  <c:v>5.5172413789999997</c:v>
                </c:pt>
                <c:pt idx="43">
                  <c:v>11.33333333</c:v>
                </c:pt>
                <c:pt idx="44">
                  <c:v>6.6666666670000003</c:v>
                </c:pt>
                <c:pt idx="45">
                  <c:v>5.2941176470000002</c:v>
                </c:pt>
                <c:pt idx="46">
                  <c:v>7.5</c:v>
                </c:pt>
                <c:pt idx="47">
                  <c:v>8.125</c:v>
                </c:pt>
                <c:pt idx="48">
                  <c:v>11.612903230000001</c:v>
                </c:pt>
                <c:pt idx="49">
                  <c:v>8.125</c:v>
                </c:pt>
                <c:pt idx="50">
                  <c:v>3.75</c:v>
                </c:pt>
                <c:pt idx="51">
                  <c:v>11.25</c:v>
                </c:pt>
                <c:pt idx="52">
                  <c:v>4.6666666670000003</c:v>
                </c:pt>
                <c:pt idx="53">
                  <c:v>14.545454550000001</c:v>
                </c:pt>
                <c:pt idx="54">
                  <c:v>9.2857142859999993</c:v>
                </c:pt>
                <c:pt idx="55">
                  <c:v>6.875</c:v>
                </c:pt>
                <c:pt idx="56">
                  <c:v>2.5</c:v>
                </c:pt>
                <c:pt idx="57">
                  <c:v>14</c:v>
                </c:pt>
                <c:pt idx="58">
                  <c:v>10</c:v>
                </c:pt>
                <c:pt idx="59">
                  <c:v>8.125</c:v>
                </c:pt>
                <c:pt idx="60">
                  <c:v>13.52941176</c:v>
                </c:pt>
                <c:pt idx="61">
                  <c:v>10</c:v>
                </c:pt>
                <c:pt idx="62">
                  <c:v>4.375</c:v>
                </c:pt>
                <c:pt idx="63">
                  <c:v>3.3333333330000001</c:v>
                </c:pt>
                <c:pt idx="64">
                  <c:v>5</c:v>
                </c:pt>
                <c:pt idx="65">
                  <c:v>5.625</c:v>
                </c:pt>
                <c:pt idx="66">
                  <c:v>1.2903225810000001</c:v>
                </c:pt>
                <c:pt idx="67">
                  <c:v>2.1428571430000001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D1-4B72-A0CE-82916DB02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37455"/>
        <c:axId val="901440335"/>
      </c:scatterChart>
      <c:valAx>
        <c:axId val="90143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40335"/>
        <c:crosses val="autoZero"/>
        <c:crossBetween val="midCat"/>
      </c:valAx>
      <c:valAx>
        <c:axId val="901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374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715341704735887"/>
          <c:y val="5.2833813640730067E-2"/>
          <c:w val="0.59939663154350609"/>
          <c:h val="0.70605943709485885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'SSC-turb'!$O$49:$O$51</c:f>
              <c:numCache>
                <c:formatCode>0.00</c:formatCode>
                <c:ptCount val="3"/>
                <c:pt idx="0">
                  <c:v>4.5403580999999997</c:v>
                </c:pt>
                <c:pt idx="1">
                  <c:v>2.4089349000000002</c:v>
                </c:pt>
                <c:pt idx="2">
                  <c:v>9.0860785666666608</c:v>
                </c:pt>
              </c:numCache>
            </c:numRef>
          </c:xVal>
          <c:yVal>
            <c:numRef>
              <c:f>'SSC-turb'!$M$49:$M$51</c:f>
              <c:numCache>
                <c:formatCode>0.00</c:formatCode>
                <c:ptCount val="3"/>
                <c:pt idx="0">
                  <c:v>13.33333333</c:v>
                </c:pt>
                <c:pt idx="1">
                  <c:v>5.3333333329999997</c:v>
                </c:pt>
                <c:pt idx="2">
                  <c:v>23.571428569999998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60-4E95-B579-A8949200D60B}"/>
            </c:ext>
          </c:extLst>
        </c:ser>
        <c:ser>
          <c:idx val="1"/>
          <c:order val="1"/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535838632415846E-2"/>
                  <c:y val="-4.3622501077855182E-2"/>
                </c:manualLayout>
              </c:layout>
              <c:numFmt formatCode="General" sourceLinked="0"/>
            </c:trendlineLbl>
          </c:trendline>
          <c:xVal>
            <c:numRef>
              <c:f>'SSC-turb'!$O$2:$O$47</c:f>
              <c:numCache>
                <c:formatCode>0.00</c:formatCode>
                <c:ptCount val="46"/>
                <c:pt idx="0">
                  <c:v>38.996000000000002</c:v>
                </c:pt>
                <c:pt idx="1">
                  <c:v>35.052</c:v>
                </c:pt>
                <c:pt idx="2">
                  <c:v>26.545999999999999</c:v>
                </c:pt>
                <c:pt idx="3">
                  <c:v>37.515999999999998</c:v>
                </c:pt>
                <c:pt idx="4">
                  <c:v>36.155999999999999</c:v>
                </c:pt>
                <c:pt idx="5">
                  <c:v>29.957999999999998</c:v>
                </c:pt>
                <c:pt idx="6">
                  <c:v>22.63</c:v>
                </c:pt>
                <c:pt idx="7">
                  <c:v>18.117999999999999</c:v>
                </c:pt>
                <c:pt idx="8">
                  <c:v>15.154</c:v>
                </c:pt>
                <c:pt idx="9">
                  <c:v>13.311999999999999</c:v>
                </c:pt>
                <c:pt idx="10">
                  <c:v>11.456</c:v>
                </c:pt>
                <c:pt idx="11">
                  <c:v>10.78</c:v>
                </c:pt>
                <c:pt idx="12">
                  <c:v>11.885999999999999</c:v>
                </c:pt>
                <c:pt idx="13">
                  <c:v>22.608116800000001</c:v>
                </c:pt>
                <c:pt idx="14">
                  <c:v>15.424431200000001</c:v>
                </c:pt>
                <c:pt idx="15">
                  <c:v>13.66403352</c:v>
                </c:pt>
                <c:pt idx="16">
                  <c:v>11.230658699999999</c:v>
                </c:pt>
                <c:pt idx="17">
                  <c:v>8.7104481200000006</c:v>
                </c:pt>
                <c:pt idx="18">
                  <c:v>22.608116800000001</c:v>
                </c:pt>
                <c:pt idx="19">
                  <c:v>14.398190400000001</c:v>
                </c:pt>
                <c:pt idx="20">
                  <c:v>11.250394099999999</c:v>
                </c:pt>
                <c:pt idx="21">
                  <c:v>9.6024881999999998</c:v>
                </c:pt>
                <c:pt idx="22">
                  <c:v>8.7834690999999996</c:v>
                </c:pt>
                <c:pt idx="23">
                  <c:v>7.0862246999999998</c:v>
                </c:pt>
                <c:pt idx="24">
                  <c:v>6.9382092000000002</c:v>
                </c:pt>
                <c:pt idx="25">
                  <c:v>6.385618</c:v>
                </c:pt>
                <c:pt idx="26">
                  <c:v>7.1355632</c:v>
                </c:pt>
                <c:pt idx="27">
                  <c:v>8.6749244000000001</c:v>
                </c:pt>
                <c:pt idx="28">
                  <c:v>8.9413523000000001</c:v>
                </c:pt>
                <c:pt idx="29">
                  <c:v>7.8953761</c:v>
                </c:pt>
                <c:pt idx="30">
                  <c:v>13.497999999999999</c:v>
                </c:pt>
                <c:pt idx="31">
                  <c:v>13.875999999999999</c:v>
                </c:pt>
                <c:pt idx="32">
                  <c:v>12.423999999999999</c:v>
                </c:pt>
                <c:pt idx="33">
                  <c:v>9.9559999999999995</c:v>
                </c:pt>
                <c:pt idx="34">
                  <c:v>35.663083899999997</c:v>
                </c:pt>
                <c:pt idx="35">
                  <c:v>24.996100200000001</c:v>
                </c:pt>
                <c:pt idx="36">
                  <c:v>15.3060188</c:v>
                </c:pt>
                <c:pt idx="37">
                  <c:v>12.918035400000001</c:v>
                </c:pt>
                <c:pt idx="38">
                  <c:v>11.4082773</c:v>
                </c:pt>
                <c:pt idx="39">
                  <c:v>10.678067499999999</c:v>
                </c:pt>
                <c:pt idx="40">
                  <c:v>10.9346277</c:v>
                </c:pt>
                <c:pt idx="41">
                  <c:v>12.23</c:v>
                </c:pt>
                <c:pt idx="42">
                  <c:v>14.09</c:v>
                </c:pt>
                <c:pt idx="43">
                  <c:v>13.07</c:v>
                </c:pt>
                <c:pt idx="44">
                  <c:v>10.54</c:v>
                </c:pt>
                <c:pt idx="45">
                  <c:v>8.4700000000000006</c:v>
                </c:pt>
              </c:numCache>
            </c:numRef>
          </c:xVal>
          <c:yVal>
            <c:numRef>
              <c:f>'SSC-turb'!$M$2:$M$47</c:f>
              <c:numCache>
                <c:formatCode>0.00</c:formatCode>
                <c:ptCount val="46"/>
                <c:pt idx="0">
                  <c:v>110.0000003</c:v>
                </c:pt>
                <c:pt idx="1">
                  <c:v>80.000000240000006</c:v>
                </c:pt>
                <c:pt idx="2">
                  <c:v>43.334300550000002</c:v>
                </c:pt>
                <c:pt idx="3">
                  <c:v>99.999897899999993</c:v>
                </c:pt>
                <c:pt idx="4">
                  <c:v>105.5558544</c:v>
                </c:pt>
                <c:pt idx="5">
                  <c:v>50.002523099999998</c:v>
                </c:pt>
                <c:pt idx="6">
                  <c:v>68.888999870000006</c:v>
                </c:pt>
                <c:pt idx="7">
                  <c:v>51.112550349999999</c:v>
                </c:pt>
                <c:pt idx="8">
                  <c:v>45.262999909999998</c:v>
                </c:pt>
                <c:pt idx="9">
                  <c:v>19.999763479999999</c:v>
                </c:pt>
                <c:pt idx="10">
                  <c:v>15.4555238</c:v>
                </c:pt>
                <c:pt idx="11">
                  <c:v>26.000000029999999</c:v>
                </c:pt>
                <c:pt idx="12">
                  <c:v>21.000042799999999</c:v>
                </c:pt>
                <c:pt idx="13">
                  <c:v>76.154000150000002</c:v>
                </c:pt>
                <c:pt idx="14">
                  <c:v>41.19999988</c:v>
                </c:pt>
                <c:pt idx="15">
                  <c:v>39.600000080000001</c:v>
                </c:pt>
                <c:pt idx="16">
                  <c:v>27.60000003</c:v>
                </c:pt>
                <c:pt idx="17">
                  <c:v>20.833370989999999</c:v>
                </c:pt>
                <c:pt idx="18">
                  <c:v>43.199858990000003</c:v>
                </c:pt>
                <c:pt idx="19">
                  <c:v>29.231349890000001</c:v>
                </c:pt>
                <c:pt idx="20">
                  <c:v>25.000381399999998</c:v>
                </c:pt>
                <c:pt idx="21">
                  <c:v>23.751649539999999</c:v>
                </c:pt>
                <c:pt idx="22">
                  <c:v>22.22200007</c:v>
                </c:pt>
                <c:pt idx="23">
                  <c:v>22.222000019999999</c:v>
                </c:pt>
                <c:pt idx="24">
                  <c:v>21.904999960000001</c:v>
                </c:pt>
                <c:pt idx="25">
                  <c:v>17.99999996</c:v>
                </c:pt>
                <c:pt idx="26">
                  <c:v>20.498955209999998</c:v>
                </c:pt>
                <c:pt idx="27">
                  <c:v>12.5580333</c:v>
                </c:pt>
                <c:pt idx="28">
                  <c:v>18.000547560000001</c:v>
                </c:pt>
                <c:pt idx="29">
                  <c:v>20.000629279999998</c:v>
                </c:pt>
                <c:pt idx="30">
                  <c:v>37.600000569999999</c:v>
                </c:pt>
                <c:pt idx="31">
                  <c:v>31.538697079999999</c:v>
                </c:pt>
                <c:pt idx="32">
                  <c:v>28.077132219999999</c:v>
                </c:pt>
                <c:pt idx="33">
                  <c:v>23.59980959</c:v>
                </c:pt>
                <c:pt idx="34">
                  <c:v>77.894999929999997</c:v>
                </c:pt>
                <c:pt idx="35">
                  <c:v>43.00000009</c:v>
                </c:pt>
                <c:pt idx="36">
                  <c:v>36</c:v>
                </c:pt>
                <c:pt idx="37">
                  <c:v>28.8362148</c:v>
                </c:pt>
                <c:pt idx="38">
                  <c:v>29.545192100000001</c:v>
                </c:pt>
                <c:pt idx="39">
                  <c:v>26.841154079999999</c:v>
                </c:pt>
                <c:pt idx="40">
                  <c:v>24.00051874</c:v>
                </c:pt>
                <c:pt idx="41">
                  <c:v>30.768358689999999</c:v>
                </c:pt>
                <c:pt idx="42">
                  <c:v>30.19991885</c:v>
                </c:pt>
                <c:pt idx="43">
                  <c:v>29.179685660000001</c:v>
                </c:pt>
                <c:pt idx="44">
                  <c:v>20.417527799999998</c:v>
                </c:pt>
                <c:pt idx="45">
                  <c:v>17.999431789999999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60-4E95-B579-A8949200D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437455"/>
        <c:axId val="901440335"/>
      </c:scatterChart>
      <c:valAx>
        <c:axId val="90143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Turb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40335"/>
        <c:crosses val="autoZero"/>
        <c:crossBetween val="midCat"/>
      </c:valAx>
      <c:valAx>
        <c:axId val="901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SSC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4374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14</xdr:row>
      <xdr:rowOff>83820</xdr:rowOff>
    </xdr:from>
    <xdr:to>
      <xdr:col>9</xdr:col>
      <xdr:colOff>472440</xdr:colOff>
      <xdr:row>28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59BE00-6ABD-4801-AD8D-9B003BC52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251460</xdr:colOff>
      <xdr:row>14</xdr:row>
      <xdr:rowOff>68580</xdr:rowOff>
    </xdr:from>
    <xdr:to>
      <xdr:col>19</xdr:col>
      <xdr:colOff>426720</xdr:colOff>
      <xdr:row>28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3CA058-4B5B-416A-82D4-0EC5088F4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AA72-DA07-449E-AC29-192D35BE5032}">
  <dimension ref="A1:R73"/>
  <sheetViews>
    <sheetView tabSelected="1" topLeftCell="A19" zoomScale="79" workbookViewId="0">
      <selection activeCell="N31" sqref="N31"/>
    </sheetView>
  </sheetViews>
  <sheetFormatPr defaultRowHeight="15" x14ac:dyDescent="0.25"/>
  <cols>
    <col min="1" max="1" width="18.42578125" customWidth="1"/>
    <col min="11" max="11" width="20.140625" customWidth="1"/>
    <col min="13" max="13" width="11.42578125" customWidth="1"/>
    <col min="14" max="14" width="13.85546875" customWidth="1"/>
    <col min="15" max="15" width="14.28515625" customWidth="1"/>
  </cols>
  <sheetData>
    <row r="1" spans="1:18" x14ac:dyDescent="0.25">
      <c r="A1" s="2" t="s">
        <v>0</v>
      </c>
      <c r="B1" s="2" t="s">
        <v>6</v>
      </c>
      <c r="C1" s="2" t="s">
        <v>1</v>
      </c>
      <c r="D1" s="2" t="s">
        <v>7</v>
      </c>
      <c r="E1" s="2" t="s">
        <v>8</v>
      </c>
      <c r="K1" s="2" t="s">
        <v>0</v>
      </c>
      <c r="L1" s="2" t="s">
        <v>6</v>
      </c>
      <c r="M1" s="2" t="s">
        <v>1</v>
      </c>
      <c r="N1" s="2" t="s">
        <v>7</v>
      </c>
      <c r="O1" s="2" t="s">
        <v>8</v>
      </c>
    </row>
    <row r="2" spans="1:18" x14ac:dyDescent="0.25">
      <c r="A2" s="3">
        <v>45033.6875</v>
      </c>
      <c r="B2" s="2">
        <v>190</v>
      </c>
      <c r="C2" s="2" t="s">
        <v>9</v>
      </c>
      <c r="D2" s="1">
        <v>103.31</v>
      </c>
      <c r="E2" s="1">
        <v>3.7071787666666598</v>
      </c>
      <c r="G2" s="13" t="s">
        <v>10</v>
      </c>
      <c r="H2" s="14"/>
      <c r="K2" s="3">
        <v>45136.629861111112</v>
      </c>
      <c r="L2" s="2">
        <v>440</v>
      </c>
      <c r="M2" s="1">
        <v>110.0000003</v>
      </c>
      <c r="N2" s="1">
        <v>271.06</v>
      </c>
      <c r="O2" s="1">
        <v>38.996000000000002</v>
      </c>
      <c r="Q2" s="13" t="s">
        <v>10</v>
      </c>
      <c r="R2" s="14"/>
    </row>
    <row r="3" spans="1:18" x14ac:dyDescent="0.25">
      <c r="A3" s="3">
        <v>45033.854166666664</v>
      </c>
      <c r="B3" s="2">
        <v>191</v>
      </c>
      <c r="C3" s="2" t="s">
        <v>9</v>
      </c>
      <c r="D3" s="1">
        <v>65.48</v>
      </c>
      <c r="E3" s="1">
        <v>19.485681061333299</v>
      </c>
      <c r="G3" s="4" t="s">
        <v>2</v>
      </c>
      <c r="H3" s="5">
        <f>MIN(E2:E29)</f>
        <v>3.7071787666666598</v>
      </c>
      <c r="K3" s="3">
        <v>45136.650694444441</v>
      </c>
      <c r="L3" s="2">
        <v>442</v>
      </c>
      <c r="M3" s="1">
        <v>80.000000240000006</v>
      </c>
      <c r="N3" s="1">
        <v>244.85599999999999</v>
      </c>
      <c r="O3" s="1">
        <v>35.052</v>
      </c>
      <c r="Q3" s="4" t="s">
        <v>2</v>
      </c>
      <c r="R3" s="5">
        <f>MIN(O2:O47)</f>
        <v>6.385618</v>
      </c>
    </row>
    <row r="4" spans="1:18" x14ac:dyDescent="0.25">
      <c r="A4" s="3">
        <v>45034.020833333336</v>
      </c>
      <c r="B4" s="2">
        <v>192</v>
      </c>
      <c r="C4" s="2" t="s">
        <v>9</v>
      </c>
      <c r="D4" s="1">
        <v>73.680000000000007</v>
      </c>
      <c r="E4" s="1">
        <v>14.095208666666601</v>
      </c>
      <c r="G4" s="4" t="s">
        <v>3</v>
      </c>
      <c r="H4" s="5">
        <f>MAX(E2:E29)</f>
        <v>40.720067999999998</v>
      </c>
      <c r="K4" s="3">
        <v>45136.661111111112</v>
      </c>
      <c r="L4" s="2">
        <v>443</v>
      </c>
      <c r="M4" s="1">
        <v>43.334300550000002</v>
      </c>
      <c r="N4" s="1">
        <v>233.25</v>
      </c>
      <c r="O4" s="1">
        <v>26.545999999999999</v>
      </c>
      <c r="Q4" s="4" t="s">
        <v>3</v>
      </c>
      <c r="R4" s="5">
        <f>MAX(O2:O47)</f>
        <v>38.996000000000002</v>
      </c>
    </row>
    <row r="5" spans="1:18" x14ac:dyDescent="0.25">
      <c r="A5" s="3">
        <v>45034.1875</v>
      </c>
      <c r="B5" s="2">
        <v>193</v>
      </c>
      <c r="C5" s="2" t="s">
        <v>9</v>
      </c>
      <c r="D5" s="1">
        <v>48.9</v>
      </c>
      <c r="E5" s="1">
        <v>12.816330000000001</v>
      </c>
      <c r="G5" s="4" t="s">
        <v>4</v>
      </c>
      <c r="H5" s="5">
        <f>AVERAGE(E2:E29)</f>
        <v>13.886349541722209</v>
      </c>
      <c r="K5" s="3">
        <v>45136.636111111111</v>
      </c>
      <c r="L5" s="2">
        <v>446</v>
      </c>
      <c r="M5" s="1">
        <v>99.999897899999993</v>
      </c>
      <c r="N5" s="1">
        <v>327.45299999999997</v>
      </c>
      <c r="O5" s="1">
        <v>37.515999999999998</v>
      </c>
      <c r="Q5" s="4" t="s">
        <v>4</v>
      </c>
      <c r="R5" s="5">
        <f>AVERAGE(O2:O47)</f>
        <v>15.846865774782607</v>
      </c>
    </row>
    <row r="6" spans="1:18" x14ac:dyDescent="0.25">
      <c r="A6" s="3">
        <v>45034.6875</v>
      </c>
      <c r="B6" s="2">
        <v>213</v>
      </c>
      <c r="C6" s="1">
        <v>21.5</v>
      </c>
      <c r="D6" s="1">
        <v>93.48</v>
      </c>
      <c r="E6" s="1">
        <v>28.755143333333301</v>
      </c>
      <c r="G6" s="7" t="s">
        <v>5</v>
      </c>
      <c r="H6" s="8">
        <f>MEDIAN(E2:E29)</f>
        <v>10.910486466666651</v>
      </c>
      <c r="K6" s="3">
        <v>45136.646527777775</v>
      </c>
      <c r="L6" s="2">
        <v>447</v>
      </c>
      <c r="M6" s="1">
        <v>105.5558544</v>
      </c>
      <c r="N6" s="1">
        <v>241.809</v>
      </c>
      <c r="O6" s="1">
        <v>36.155999999999999</v>
      </c>
      <c r="Q6" s="7" t="s">
        <v>5</v>
      </c>
      <c r="R6" s="8">
        <f>MEDIAN(O2:O47)</f>
        <v>12.6710177</v>
      </c>
    </row>
    <row r="7" spans="1:18" x14ac:dyDescent="0.25">
      <c r="A7" s="3">
        <v>45034.895833333336</v>
      </c>
      <c r="B7" s="2">
        <v>214</v>
      </c>
      <c r="C7" s="1">
        <v>11.05263158</v>
      </c>
      <c r="D7" s="1">
        <v>53.79</v>
      </c>
      <c r="E7" s="1">
        <v>17.720414000000002</v>
      </c>
      <c r="K7" s="3">
        <v>45136.656944444447</v>
      </c>
      <c r="L7" s="2">
        <v>448</v>
      </c>
      <c r="M7" s="1">
        <v>50.002523099999998</v>
      </c>
      <c r="N7" s="1">
        <v>158.52500000000001</v>
      </c>
      <c r="O7" s="1">
        <v>29.957999999999998</v>
      </c>
    </row>
    <row r="8" spans="1:18" x14ac:dyDescent="0.25">
      <c r="A8" s="3">
        <v>45035.104166666664</v>
      </c>
      <c r="B8" s="2">
        <v>215</v>
      </c>
      <c r="C8" s="1">
        <v>18</v>
      </c>
      <c r="D8" s="1">
        <v>47.58</v>
      </c>
      <c r="E8" s="1">
        <v>10.7258193333333</v>
      </c>
      <c r="K8" s="3">
        <v>45136.667361111111</v>
      </c>
      <c r="L8" s="2">
        <v>449</v>
      </c>
      <c r="M8" s="1">
        <v>68.888999870000006</v>
      </c>
      <c r="N8" s="1">
        <v>132.47200000000001</v>
      </c>
      <c r="O8" s="1">
        <v>22.63</v>
      </c>
    </row>
    <row r="9" spans="1:18" x14ac:dyDescent="0.25">
      <c r="A9" s="3">
        <v>45035.3125</v>
      </c>
      <c r="B9" s="2">
        <v>216</v>
      </c>
      <c r="C9" s="1">
        <v>6.5</v>
      </c>
      <c r="D9" s="1">
        <v>30.72</v>
      </c>
      <c r="E9" s="1">
        <v>11.0138553333333</v>
      </c>
      <c r="G9" s="13" t="s">
        <v>11</v>
      </c>
      <c r="H9" s="14"/>
      <c r="K9" s="3">
        <v>45136.677777777775</v>
      </c>
      <c r="L9" s="2">
        <v>450</v>
      </c>
      <c r="M9" s="1">
        <v>51.112550349999999</v>
      </c>
      <c r="N9" s="1">
        <v>98.91</v>
      </c>
      <c r="O9" s="1">
        <v>18.117999999999999</v>
      </c>
      <c r="Q9" s="13" t="s">
        <v>11</v>
      </c>
      <c r="R9" s="14"/>
    </row>
    <row r="10" spans="1:18" x14ac:dyDescent="0.25">
      <c r="A10" s="3">
        <v>45035.9375</v>
      </c>
      <c r="B10" s="2">
        <v>219</v>
      </c>
      <c r="C10" s="1">
        <v>6</v>
      </c>
      <c r="D10" s="1">
        <v>22.36</v>
      </c>
      <c r="E10" s="1">
        <v>9.5457912</v>
      </c>
      <c r="G10" s="4" t="s">
        <v>2</v>
      </c>
      <c r="H10" s="9">
        <f>MIN(E31:E73)</f>
        <v>4.5956702079999996</v>
      </c>
      <c r="K10" s="3">
        <v>45136.688194444447</v>
      </c>
      <c r="L10" s="2">
        <v>451</v>
      </c>
      <c r="M10" s="1">
        <v>45.262999909999998</v>
      </c>
      <c r="N10" s="1">
        <v>90.356999999999999</v>
      </c>
      <c r="O10" s="1">
        <v>15.154</v>
      </c>
      <c r="Q10" s="4" t="s">
        <v>2</v>
      </c>
      <c r="R10" s="9">
        <f>MIN(O49:O51)</f>
        <v>2.4089349000000002</v>
      </c>
    </row>
    <row r="11" spans="1:18" x14ac:dyDescent="0.25">
      <c r="A11" s="3">
        <v>45036.145833333336</v>
      </c>
      <c r="B11" s="2">
        <v>220</v>
      </c>
      <c r="C11" s="1">
        <v>8.8888888890000004</v>
      </c>
      <c r="D11" s="1">
        <v>30.83</v>
      </c>
      <c r="E11" s="1">
        <v>10.8071176</v>
      </c>
      <c r="G11" s="4" t="s">
        <v>3</v>
      </c>
      <c r="H11" s="9">
        <f>MAX(E31:E73)</f>
        <v>20.852958666666598</v>
      </c>
      <c r="K11" s="3">
        <v>45136.698611111111</v>
      </c>
      <c r="L11" s="2">
        <v>452</v>
      </c>
      <c r="M11" s="1">
        <v>19.999763479999999</v>
      </c>
      <c r="N11" s="1">
        <v>84.561999999999998</v>
      </c>
      <c r="O11" s="1">
        <v>13.311999999999999</v>
      </c>
      <c r="Q11" s="4" t="s">
        <v>3</v>
      </c>
      <c r="R11" s="9">
        <f>MAX(O49:O51)</f>
        <v>9.0860785666666608</v>
      </c>
    </row>
    <row r="12" spans="1:18" x14ac:dyDescent="0.25">
      <c r="A12" s="3">
        <v>45036.979166666664</v>
      </c>
      <c r="B12" s="2">
        <v>237</v>
      </c>
      <c r="C12" s="1">
        <v>4.6666666670000003</v>
      </c>
      <c r="D12" s="1">
        <v>24.91</v>
      </c>
      <c r="E12" s="1">
        <v>13.8559305333333</v>
      </c>
      <c r="G12" s="6" t="s">
        <v>4</v>
      </c>
      <c r="H12" s="10">
        <f>AVERAGE(E31:E73)</f>
        <v>9.3905336676682012</v>
      </c>
      <c r="K12" s="3">
        <v>45136.719444444447</v>
      </c>
      <c r="L12" s="2">
        <v>453</v>
      </c>
      <c r="M12" s="1">
        <v>15.4555238</v>
      </c>
      <c r="N12" s="1">
        <v>59.01</v>
      </c>
      <c r="O12" s="1">
        <v>11.456</v>
      </c>
      <c r="Q12" s="6" t="s">
        <v>4</v>
      </c>
      <c r="R12" s="10">
        <f>AVERAGE(O49:O51)</f>
        <v>5.3451238555555536</v>
      </c>
    </row>
    <row r="13" spans="1:18" x14ac:dyDescent="0.25">
      <c r="A13" s="3">
        <v>45037.8125</v>
      </c>
      <c r="B13" s="2">
        <v>240</v>
      </c>
      <c r="C13" s="1">
        <v>17.85714286</v>
      </c>
      <c r="D13" s="1">
        <v>67.13</v>
      </c>
      <c r="E13" s="1">
        <v>11.7388058</v>
      </c>
      <c r="G13" s="7" t="s">
        <v>5</v>
      </c>
      <c r="H13" s="11">
        <f>MEDIAN(E31:E73)</f>
        <v>9.1913850666666601</v>
      </c>
      <c r="K13" s="3">
        <v>45136.740277777775</v>
      </c>
      <c r="L13" s="2">
        <v>454</v>
      </c>
      <c r="M13" s="1">
        <v>26.000000029999999</v>
      </c>
      <c r="N13" s="1">
        <v>42.72</v>
      </c>
      <c r="O13" s="1">
        <v>10.78</v>
      </c>
      <c r="Q13" s="7" t="s">
        <v>5</v>
      </c>
      <c r="R13" s="11">
        <f>MEDIAN(O49:O51)</f>
        <v>4.5403580999999997</v>
      </c>
    </row>
    <row r="14" spans="1:18" x14ac:dyDescent="0.25">
      <c r="A14" s="3">
        <v>45038.229166666664</v>
      </c>
      <c r="B14" s="2">
        <v>242</v>
      </c>
      <c r="C14" s="1">
        <v>6.6666666670000003</v>
      </c>
      <c r="D14" s="1">
        <v>51.68</v>
      </c>
      <c r="E14" s="1">
        <v>7.8816796</v>
      </c>
      <c r="H14" s="12"/>
      <c r="K14" s="3">
        <v>45136.771527777775</v>
      </c>
      <c r="L14" s="2">
        <v>455</v>
      </c>
      <c r="M14" s="1">
        <v>21.000042799999999</v>
      </c>
      <c r="N14" s="1">
        <v>98.146000000000001</v>
      </c>
      <c r="O14" s="1">
        <v>11.885999999999999</v>
      </c>
      <c r="R14" s="12"/>
    </row>
    <row r="15" spans="1:18" x14ac:dyDescent="0.25">
      <c r="A15" s="3">
        <v>45038.645833333336</v>
      </c>
      <c r="B15" s="2">
        <v>244</v>
      </c>
      <c r="C15" s="1">
        <v>5.3333333329999997</v>
      </c>
      <c r="D15" s="1">
        <v>57.56</v>
      </c>
      <c r="E15" s="1">
        <v>9.9127162666666599</v>
      </c>
      <c r="K15" s="3">
        <v>45151.78125</v>
      </c>
      <c r="L15" s="2">
        <v>456</v>
      </c>
      <c r="M15" s="1">
        <v>76.154000150000002</v>
      </c>
      <c r="N15" s="1">
        <v>210.458</v>
      </c>
      <c r="O15" s="1">
        <v>22.608116800000001</v>
      </c>
    </row>
    <row r="16" spans="1:18" x14ac:dyDescent="0.25">
      <c r="A16" s="3">
        <v>45038.854166666664</v>
      </c>
      <c r="B16" s="2">
        <v>245</v>
      </c>
      <c r="C16" s="1">
        <v>8</v>
      </c>
      <c r="D16" s="1">
        <v>63.54</v>
      </c>
      <c r="E16" s="1">
        <v>9.9371473333333302</v>
      </c>
      <c r="K16" s="3">
        <v>45151.790277777778</v>
      </c>
      <c r="L16" s="2">
        <v>457</v>
      </c>
      <c r="M16" s="1">
        <v>41.19999988</v>
      </c>
      <c r="N16" s="1">
        <v>116.066</v>
      </c>
      <c r="O16" s="1">
        <v>15.424431200000001</v>
      </c>
    </row>
    <row r="17" spans="1:15" x14ac:dyDescent="0.25">
      <c r="A17" s="3">
        <v>45040.083333333336</v>
      </c>
      <c r="B17" s="2">
        <v>250</v>
      </c>
      <c r="C17" s="1">
        <v>8.6666666669999994</v>
      </c>
      <c r="D17" s="1">
        <v>66.59</v>
      </c>
      <c r="E17" s="1">
        <v>7.85183946666666</v>
      </c>
      <c r="K17" s="3">
        <v>45151.793055555558</v>
      </c>
      <c r="L17" s="2">
        <v>458</v>
      </c>
      <c r="M17" s="1">
        <v>39.600000080000001</v>
      </c>
      <c r="N17" s="1">
        <v>113.258</v>
      </c>
      <c r="O17" s="1">
        <v>13.66403352</v>
      </c>
    </row>
    <row r="18" spans="1:15" x14ac:dyDescent="0.25">
      <c r="A18" s="3">
        <v>45040.708333333336</v>
      </c>
      <c r="B18" s="2">
        <v>253</v>
      </c>
      <c r="C18" s="1">
        <v>15</v>
      </c>
      <c r="D18" s="1">
        <v>27.12</v>
      </c>
      <c r="E18" s="1">
        <v>13.0389166666666</v>
      </c>
      <c r="K18" s="3">
        <v>45151.798611111109</v>
      </c>
      <c r="L18" s="2">
        <v>459</v>
      </c>
      <c r="M18" s="1">
        <v>27.60000003</v>
      </c>
      <c r="N18" s="1">
        <v>81.150000000000006</v>
      </c>
      <c r="O18" s="1">
        <v>11.230658699999999</v>
      </c>
    </row>
    <row r="19" spans="1:15" x14ac:dyDescent="0.25">
      <c r="A19" s="3">
        <v>45040.916666666664</v>
      </c>
      <c r="B19" s="2">
        <v>269</v>
      </c>
      <c r="C19" s="1">
        <v>7.1428571429999996</v>
      </c>
      <c r="D19" s="1">
        <v>14.59</v>
      </c>
      <c r="E19" s="1">
        <v>9.26576165333333</v>
      </c>
      <c r="K19" s="3">
        <v>45151.876388888886</v>
      </c>
      <c r="L19" s="2">
        <v>460</v>
      </c>
      <c r="M19" s="1">
        <v>20.833370989999999</v>
      </c>
      <c r="N19" s="1">
        <v>56.15</v>
      </c>
      <c r="O19" s="1">
        <v>8.7104481200000006</v>
      </c>
    </row>
    <row r="20" spans="1:15" x14ac:dyDescent="0.25">
      <c r="A20" s="3">
        <v>45044.666666666664</v>
      </c>
      <c r="B20" s="2">
        <v>291</v>
      </c>
      <c r="C20" s="1">
        <v>6.6666666670000003</v>
      </c>
      <c r="D20" s="1">
        <v>56.02</v>
      </c>
      <c r="E20" s="1">
        <v>9.8384447333333291</v>
      </c>
      <c r="K20" s="3">
        <v>45151.78125</v>
      </c>
      <c r="L20" s="2">
        <v>461</v>
      </c>
      <c r="M20" s="1">
        <v>43.199858990000003</v>
      </c>
      <c r="N20" s="1">
        <v>183.80799999999999</v>
      </c>
      <c r="O20" s="1">
        <v>22.608116800000001</v>
      </c>
    </row>
    <row r="21" spans="1:15" x14ac:dyDescent="0.25">
      <c r="A21" s="3">
        <v>45046.541666666664</v>
      </c>
      <c r="B21" s="2">
        <v>309</v>
      </c>
      <c r="C21" s="1">
        <v>12.66666667</v>
      </c>
      <c r="D21" s="1">
        <v>43.66</v>
      </c>
      <c r="E21" s="1">
        <v>9.5335015999999992</v>
      </c>
      <c r="K21" s="3">
        <v>45151.791666666664</v>
      </c>
      <c r="L21" s="2">
        <v>462</v>
      </c>
      <c r="M21" s="1">
        <v>29.231349890000001</v>
      </c>
      <c r="N21" s="1">
        <v>83.528000000000006</v>
      </c>
      <c r="O21" s="1">
        <v>14.398190400000001</v>
      </c>
    </row>
    <row r="22" spans="1:15" x14ac:dyDescent="0.25">
      <c r="A22" s="3">
        <v>45046.75</v>
      </c>
      <c r="B22" s="2">
        <v>310</v>
      </c>
      <c r="C22" s="1">
        <v>45</v>
      </c>
      <c r="D22" s="1">
        <v>85.5</v>
      </c>
      <c r="E22" s="1">
        <v>40.720067999999998</v>
      </c>
      <c r="K22" s="3">
        <v>45151.802083333336</v>
      </c>
      <c r="L22" s="2">
        <v>463</v>
      </c>
      <c r="M22" s="1">
        <v>25.000381399999998</v>
      </c>
      <c r="N22" s="1">
        <v>72.105000000000004</v>
      </c>
      <c r="O22" s="1">
        <v>11.250394099999999</v>
      </c>
    </row>
    <row r="23" spans="1:15" x14ac:dyDescent="0.25">
      <c r="A23" s="3">
        <v>45047.833333333336</v>
      </c>
      <c r="B23" s="2">
        <v>328</v>
      </c>
      <c r="C23" s="1">
        <v>20</v>
      </c>
      <c r="D23" s="1">
        <v>64.14</v>
      </c>
      <c r="E23" s="1">
        <v>20.458221333333299</v>
      </c>
      <c r="K23" s="3">
        <v>45151.8125</v>
      </c>
      <c r="L23" s="2">
        <v>464</v>
      </c>
      <c r="M23" s="1">
        <v>23.751649539999999</v>
      </c>
      <c r="N23" s="1">
        <v>67.606999999999999</v>
      </c>
      <c r="O23" s="1">
        <v>9.6024881999999998</v>
      </c>
    </row>
    <row r="24" spans="1:15" x14ac:dyDescent="0.25">
      <c r="A24" s="3">
        <v>45049.583333333336</v>
      </c>
      <c r="B24" s="2">
        <v>334</v>
      </c>
      <c r="C24" s="1">
        <v>10.66666667</v>
      </c>
      <c r="D24" s="1">
        <v>39.619999999999997</v>
      </c>
      <c r="E24" s="1">
        <v>8.3362107199999897</v>
      </c>
      <c r="K24" s="3">
        <v>45151.822916666664</v>
      </c>
      <c r="L24" s="2">
        <v>465</v>
      </c>
      <c r="M24" s="1">
        <v>22.22200007</v>
      </c>
      <c r="N24" s="1">
        <v>70.3</v>
      </c>
      <c r="O24" s="1">
        <v>8.7834690999999996</v>
      </c>
    </row>
    <row r="25" spans="1:15" x14ac:dyDescent="0.25">
      <c r="A25" s="3">
        <v>45049.833333333336</v>
      </c>
      <c r="B25" s="2">
        <v>335</v>
      </c>
      <c r="C25" s="1">
        <v>24.375</v>
      </c>
      <c r="D25" s="1">
        <v>87.1</v>
      </c>
      <c r="E25" s="1">
        <v>22.230606000000002</v>
      </c>
      <c r="K25" s="3">
        <v>45151.833333333336</v>
      </c>
      <c r="L25" s="2">
        <v>466</v>
      </c>
      <c r="M25" s="1">
        <v>22.222000019999999</v>
      </c>
      <c r="N25" s="1">
        <v>67.88</v>
      </c>
      <c r="O25" s="1">
        <v>7.0862246999999998</v>
      </c>
    </row>
    <row r="26" spans="1:15" x14ac:dyDescent="0.25">
      <c r="A26" s="3"/>
      <c r="B26" s="2"/>
      <c r="C26" s="1"/>
      <c r="D26" s="1"/>
      <c r="E26" s="1"/>
      <c r="K26" s="3">
        <v>45151.84375</v>
      </c>
      <c r="L26" s="2">
        <v>467</v>
      </c>
      <c r="M26" s="1">
        <v>21.904999960000001</v>
      </c>
      <c r="N26" s="1">
        <v>84.66</v>
      </c>
      <c r="O26" s="1">
        <v>6.9382092000000002</v>
      </c>
    </row>
    <row r="27" spans="1:15" x14ac:dyDescent="0.25">
      <c r="A27" s="3"/>
      <c r="B27" s="2"/>
      <c r="C27" s="1"/>
      <c r="D27" s="1"/>
      <c r="E27" s="1"/>
      <c r="K27" s="3">
        <v>45151.854166666664</v>
      </c>
      <c r="L27" s="2">
        <v>468</v>
      </c>
      <c r="M27" s="1">
        <v>17.99999996</v>
      </c>
      <c r="N27" s="1">
        <v>67.569999999999993</v>
      </c>
      <c r="O27" s="1">
        <v>6.385618</v>
      </c>
    </row>
    <row r="28" spans="1:15" x14ac:dyDescent="0.25">
      <c r="A28" s="3"/>
      <c r="B28" s="2"/>
      <c r="C28" s="1"/>
      <c r="D28" s="1"/>
      <c r="E28" s="1"/>
      <c r="K28" s="3">
        <v>45151.864583333336</v>
      </c>
      <c r="L28" s="2">
        <v>469</v>
      </c>
      <c r="M28" s="1">
        <v>20.498955209999998</v>
      </c>
      <c r="N28" s="1">
        <v>54.936</v>
      </c>
      <c r="O28" s="1">
        <v>7.1355632</v>
      </c>
    </row>
    <row r="29" spans="1:15" x14ac:dyDescent="0.25">
      <c r="A29" s="3"/>
      <c r="B29" s="2"/>
      <c r="C29" s="1"/>
      <c r="D29" s="1"/>
      <c r="E29" s="1"/>
      <c r="K29" s="3">
        <v>45151.875</v>
      </c>
      <c r="L29" s="2">
        <v>470</v>
      </c>
      <c r="M29" s="1">
        <v>12.5580333</v>
      </c>
      <c r="N29" s="1">
        <v>75.337999999999994</v>
      </c>
      <c r="O29" s="1">
        <v>8.6749244000000001</v>
      </c>
    </row>
    <row r="30" spans="1:15" x14ac:dyDescent="0.25">
      <c r="K30" s="3">
        <v>45151.885416666664</v>
      </c>
      <c r="L30" s="2">
        <v>471</v>
      </c>
      <c r="M30" s="1">
        <v>18.000547560000001</v>
      </c>
      <c r="N30" s="1">
        <v>59.165999999999997</v>
      </c>
      <c r="O30" s="1">
        <v>8.9413523000000001</v>
      </c>
    </row>
    <row r="31" spans="1:15" x14ac:dyDescent="0.25">
      <c r="A31" s="3">
        <v>45034.354166666664</v>
      </c>
      <c r="B31" s="2">
        <v>211</v>
      </c>
      <c r="C31" s="1">
        <v>10</v>
      </c>
      <c r="D31" s="1">
        <v>0</v>
      </c>
      <c r="E31" s="1">
        <v>10.7502079333333</v>
      </c>
      <c r="K31" s="3">
        <v>45151.895833333336</v>
      </c>
      <c r="L31" s="2">
        <v>472</v>
      </c>
      <c r="M31" s="1">
        <v>20.000629279999998</v>
      </c>
      <c r="N31" s="1">
        <v>50.774000000000001</v>
      </c>
      <c r="O31" s="1">
        <v>7.8953761</v>
      </c>
    </row>
    <row r="32" spans="1:15" x14ac:dyDescent="0.25">
      <c r="A32" s="3">
        <v>45034.520833333336</v>
      </c>
      <c r="B32" s="2">
        <v>212</v>
      </c>
      <c r="C32" s="1">
        <v>6.8181818180000002</v>
      </c>
      <c r="D32" s="1">
        <v>0</v>
      </c>
      <c r="E32" s="1">
        <v>11.983668140000001</v>
      </c>
      <c r="K32" s="3">
        <v>45183.744444444441</v>
      </c>
      <c r="L32" s="2">
        <v>484</v>
      </c>
      <c r="M32" s="1">
        <v>37.600000569999999</v>
      </c>
      <c r="N32" s="1">
        <v>63.87</v>
      </c>
      <c r="O32" s="1">
        <v>13.497999999999999</v>
      </c>
    </row>
    <row r="33" spans="1:15" x14ac:dyDescent="0.25">
      <c r="A33" s="3">
        <v>45035.520833333336</v>
      </c>
      <c r="B33" s="2">
        <v>217</v>
      </c>
      <c r="C33" s="1">
        <v>8</v>
      </c>
      <c r="D33" s="1">
        <v>0</v>
      </c>
      <c r="E33" s="1">
        <v>10.820681333333299</v>
      </c>
      <c r="K33" s="3">
        <v>45183.754861111112</v>
      </c>
      <c r="L33" s="2">
        <v>485</v>
      </c>
      <c r="M33" s="1">
        <v>31.538697079999999</v>
      </c>
      <c r="N33" s="1">
        <v>75.400000000000006</v>
      </c>
      <c r="O33" s="1">
        <v>13.875999999999999</v>
      </c>
    </row>
    <row r="34" spans="1:15" x14ac:dyDescent="0.25">
      <c r="A34" s="3">
        <v>45035.729166666664</v>
      </c>
      <c r="B34" s="2">
        <v>218</v>
      </c>
      <c r="C34" s="1">
        <v>12</v>
      </c>
      <c r="D34" s="1">
        <v>0</v>
      </c>
      <c r="E34" s="1">
        <v>16.381029333333299</v>
      </c>
      <c r="K34" s="3">
        <v>45183.765277777777</v>
      </c>
      <c r="L34" s="2">
        <v>486</v>
      </c>
      <c r="M34" s="1">
        <v>28.077132219999999</v>
      </c>
      <c r="N34" s="1">
        <v>70.75</v>
      </c>
      <c r="O34" s="1">
        <v>12.423999999999999</v>
      </c>
    </row>
    <row r="35" spans="1:15" x14ac:dyDescent="0.25">
      <c r="A35" s="3">
        <v>45036.354166666664</v>
      </c>
      <c r="B35" s="2">
        <v>221</v>
      </c>
      <c r="C35" s="1">
        <v>12.222222220000001</v>
      </c>
      <c r="D35" s="1">
        <v>0</v>
      </c>
      <c r="E35" s="1">
        <v>11.302605</v>
      </c>
      <c r="K35" s="3">
        <v>45183.786111111112</v>
      </c>
      <c r="L35" s="2">
        <v>488</v>
      </c>
      <c r="M35" s="1">
        <v>23.59980959</v>
      </c>
      <c r="N35" s="1">
        <v>54.12</v>
      </c>
      <c r="O35" s="1">
        <v>9.9559999999999995</v>
      </c>
    </row>
    <row r="36" spans="1:15" x14ac:dyDescent="0.25">
      <c r="A36" s="3">
        <v>45036.770833333336</v>
      </c>
      <c r="B36" s="2">
        <v>236</v>
      </c>
      <c r="C36" s="1">
        <v>6.875</v>
      </c>
      <c r="D36" s="1">
        <v>0</v>
      </c>
      <c r="E36" s="1">
        <v>12.379865893333299</v>
      </c>
      <c r="K36" s="3">
        <v>45166.513888888891</v>
      </c>
      <c r="L36" s="2">
        <v>476</v>
      </c>
      <c r="M36" s="1">
        <v>77.894999929999997</v>
      </c>
      <c r="N36" s="1">
        <v>232.05199999999999</v>
      </c>
      <c r="O36" s="1">
        <v>35.663083899999997</v>
      </c>
    </row>
    <row r="37" spans="1:15" x14ac:dyDescent="0.25">
      <c r="A37" s="3">
        <v>45037.395833333336</v>
      </c>
      <c r="B37" s="2">
        <v>238</v>
      </c>
      <c r="C37" s="1">
        <v>5.3333333329999997</v>
      </c>
      <c r="D37" s="1">
        <v>0</v>
      </c>
      <c r="E37" s="1">
        <v>7.9286783333333304</v>
      </c>
      <c r="G37">
        <f>73-31</f>
        <v>42</v>
      </c>
      <c r="K37" s="3">
        <v>45166.524305555555</v>
      </c>
      <c r="L37" s="2">
        <v>477</v>
      </c>
      <c r="M37" s="1">
        <v>43.00000009</v>
      </c>
      <c r="N37" s="1">
        <v>143.89599999999999</v>
      </c>
      <c r="O37" s="1">
        <v>24.996100200000001</v>
      </c>
    </row>
    <row r="38" spans="1:15" x14ac:dyDescent="0.25">
      <c r="A38" s="3">
        <v>45037.604166666664</v>
      </c>
      <c r="B38" s="2">
        <v>239</v>
      </c>
      <c r="C38" s="1">
        <v>6</v>
      </c>
      <c r="D38" s="1">
        <v>0</v>
      </c>
      <c r="E38" s="1">
        <v>9.2900002666666595</v>
      </c>
      <c r="K38" s="3">
        <v>45166.534722222219</v>
      </c>
      <c r="L38" s="2">
        <v>478</v>
      </c>
      <c r="M38" s="1">
        <v>36</v>
      </c>
      <c r="N38" s="1">
        <v>104.006</v>
      </c>
      <c r="O38" s="1">
        <v>15.3060188</v>
      </c>
    </row>
    <row r="39" spans="1:15" x14ac:dyDescent="0.25">
      <c r="A39" s="3">
        <v>45038.020833333336</v>
      </c>
      <c r="B39" s="2">
        <v>241</v>
      </c>
      <c r="C39" s="1">
        <v>4</v>
      </c>
      <c r="D39" s="1">
        <v>0</v>
      </c>
      <c r="E39" s="1">
        <v>10.3409056666666</v>
      </c>
      <c r="K39" s="3">
        <v>45166.545138888891</v>
      </c>
      <c r="L39" s="2">
        <v>479</v>
      </c>
      <c r="M39" s="1">
        <v>28.8362148</v>
      </c>
      <c r="N39" s="1">
        <v>88.144000000000005</v>
      </c>
      <c r="O39" s="1">
        <v>12.918035400000001</v>
      </c>
    </row>
    <row r="40" spans="1:15" x14ac:dyDescent="0.25">
      <c r="A40" s="3">
        <v>45038.4375</v>
      </c>
      <c r="B40" s="2">
        <v>243</v>
      </c>
      <c r="C40" s="1">
        <v>5.5172413789999997</v>
      </c>
      <c r="D40" s="1">
        <v>0</v>
      </c>
      <c r="E40" s="1">
        <v>6.6124433333333297</v>
      </c>
      <c r="K40" s="3">
        <v>45166.555555555555</v>
      </c>
      <c r="L40" s="2">
        <v>480</v>
      </c>
      <c r="M40" s="1">
        <v>29.545192100000001</v>
      </c>
      <c r="N40" s="1">
        <v>92.256</v>
      </c>
      <c r="O40" s="1">
        <v>11.4082773</v>
      </c>
    </row>
    <row r="41" spans="1:15" x14ac:dyDescent="0.25">
      <c r="A41" s="3">
        <v>45039.0625</v>
      </c>
      <c r="B41" s="2">
        <v>246</v>
      </c>
      <c r="C41" s="1">
        <v>7.3333333329999997</v>
      </c>
      <c r="D41" s="1">
        <v>0</v>
      </c>
      <c r="E41" s="1">
        <v>6.3972824666666597</v>
      </c>
      <c r="K41" s="3">
        <v>45166.586805555555</v>
      </c>
      <c r="L41" s="2">
        <v>481</v>
      </c>
      <c r="M41" s="1">
        <v>26.841154079999999</v>
      </c>
      <c r="N41" s="1">
        <v>82.494</v>
      </c>
      <c r="O41" s="1">
        <v>10.678067499999999</v>
      </c>
    </row>
    <row r="42" spans="1:15" x14ac:dyDescent="0.25">
      <c r="A42" s="3">
        <v>45039.666666666664</v>
      </c>
      <c r="B42" s="2">
        <v>248</v>
      </c>
      <c r="C42" s="1">
        <v>11.25</v>
      </c>
      <c r="D42" s="1">
        <v>0</v>
      </c>
      <c r="E42" s="1">
        <v>11.1684686666666</v>
      </c>
      <c r="K42" s="3">
        <v>45166.607638888891</v>
      </c>
      <c r="L42" s="2">
        <v>482</v>
      </c>
      <c r="M42" s="1">
        <v>24.00051874</v>
      </c>
      <c r="N42" s="1">
        <v>69.394999999999996</v>
      </c>
      <c r="O42" s="1">
        <v>10.9346277</v>
      </c>
    </row>
    <row r="43" spans="1:15" x14ac:dyDescent="0.25">
      <c r="A43" s="3">
        <v>45039.875</v>
      </c>
      <c r="B43" s="2">
        <v>249</v>
      </c>
      <c r="C43" s="1">
        <v>5.1612903230000002</v>
      </c>
      <c r="D43" s="1">
        <v>0</v>
      </c>
      <c r="E43" s="1">
        <v>8.2048614000000004</v>
      </c>
      <c r="K43" s="3">
        <v>45183.739583333336</v>
      </c>
      <c r="L43" s="2">
        <v>490</v>
      </c>
      <c r="M43" s="1">
        <v>30.768358689999999</v>
      </c>
      <c r="N43" s="1">
        <v>95.962999999999994</v>
      </c>
      <c r="O43" s="1">
        <v>12.23</v>
      </c>
    </row>
    <row r="44" spans="1:15" x14ac:dyDescent="0.25">
      <c r="A44" s="3">
        <v>45040.291666666664</v>
      </c>
      <c r="B44" s="2">
        <v>251</v>
      </c>
      <c r="C44" s="1">
        <v>8.5714285710000002</v>
      </c>
      <c r="D44" s="1">
        <v>0</v>
      </c>
      <c r="E44" s="1">
        <v>6.5715912934</v>
      </c>
      <c r="K44" s="3">
        <v>45183.75</v>
      </c>
      <c r="L44" s="2">
        <v>491</v>
      </c>
      <c r="M44" s="1">
        <v>30.19991885</v>
      </c>
      <c r="N44" s="1">
        <v>80.180000000000007</v>
      </c>
      <c r="O44" s="1">
        <v>14.09</v>
      </c>
    </row>
    <row r="45" spans="1:15" x14ac:dyDescent="0.25">
      <c r="A45" s="3">
        <v>45041.125</v>
      </c>
      <c r="B45" s="2">
        <v>270</v>
      </c>
      <c r="C45" s="1">
        <v>4.1176470590000003</v>
      </c>
      <c r="D45" s="1">
        <v>0</v>
      </c>
      <c r="E45" s="1">
        <v>7.3385368</v>
      </c>
      <c r="K45" s="3">
        <v>45183.760416666664</v>
      </c>
      <c r="L45" s="2">
        <v>492</v>
      </c>
      <c r="M45" s="1">
        <v>29.179685660000001</v>
      </c>
      <c r="N45" s="1">
        <v>70.510000000000005</v>
      </c>
      <c r="O45" s="1">
        <v>13.07</v>
      </c>
    </row>
    <row r="46" spans="1:15" x14ac:dyDescent="0.25">
      <c r="A46" s="3">
        <v>45041.541666666664</v>
      </c>
      <c r="B46" s="2">
        <v>271</v>
      </c>
      <c r="C46" s="1">
        <v>7.1428571429999996</v>
      </c>
      <c r="D46" s="1">
        <v>0</v>
      </c>
      <c r="E46" s="1">
        <v>8.66325026666666</v>
      </c>
      <c r="K46" s="3">
        <v>45183.78125</v>
      </c>
      <c r="L46" s="2">
        <v>493</v>
      </c>
      <c r="M46" s="1">
        <v>20.417527799999998</v>
      </c>
      <c r="N46" s="1">
        <v>64.436999999999998</v>
      </c>
      <c r="O46" s="1">
        <v>10.54</v>
      </c>
    </row>
    <row r="47" spans="1:15" x14ac:dyDescent="0.25">
      <c r="A47" s="3">
        <v>45041.75</v>
      </c>
      <c r="B47" s="2">
        <v>272</v>
      </c>
      <c r="C47" s="2"/>
      <c r="D47" s="1">
        <v>0</v>
      </c>
      <c r="E47" s="1">
        <v>10.072311133333301</v>
      </c>
      <c r="K47" s="3">
        <v>45183.802083333336</v>
      </c>
      <c r="L47" s="2">
        <v>494</v>
      </c>
      <c r="M47" s="1">
        <v>17.999431789999999</v>
      </c>
      <c r="N47" s="1">
        <v>46.07</v>
      </c>
      <c r="O47" s="1">
        <v>8.4700000000000006</v>
      </c>
    </row>
    <row r="48" spans="1:15" x14ac:dyDescent="0.25">
      <c r="A48" s="3">
        <v>45042.5625</v>
      </c>
      <c r="B48" s="2">
        <v>273</v>
      </c>
      <c r="C48" s="1">
        <v>5.5172413789999997</v>
      </c>
      <c r="D48" s="1">
        <v>0</v>
      </c>
      <c r="E48" s="1">
        <v>6.9584305310000003</v>
      </c>
    </row>
    <row r="49" spans="1:15" x14ac:dyDescent="0.25">
      <c r="A49" s="3">
        <v>45042.791666666664</v>
      </c>
      <c r="B49" s="2">
        <v>274</v>
      </c>
      <c r="C49" s="1">
        <v>11.33333333</v>
      </c>
      <c r="D49" s="1">
        <v>0</v>
      </c>
      <c r="E49" s="1">
        <v>6.6294694666666603</v>
      </c>
      <c r="K49" s="3">
        <v>45127.59375</v>
      </c>
      <c r="L49" s="2">
        <v>436</v>
      </c>
      <c r="M49" s="1">
        <v>13.33333333</v>
      </c>
      <c r="N49" s="1">
        <v>0</v>
      </c>
      <c r="O49" s="1">
        <v>4.5403580999999997</v>
      </c>
    </row>
    <row r="50" spans="1:15" x14ac:dyDescent="0.25">
      <c r="A50" s="3">
        <v>45043</v>
      </c>
      <c r="B50" s="2">
        <v>283</v>
      </c>
      <c r="C50" s="1">
        <v>6.6666666670000003</v>
      </c>
      <c r="D50" s="1">
        <v>0</v>
      </c>
      <c r="E50" s="1">
        <v>5.5344294666666602</v>
      </c>
      <c r="K50" s="3">
        <v>45153.5</v>
      </c>
      <c r="L50" s="2">
        <v>474</v>
      </c>
      <c r="M50" s="1">
        <v>5.3333333329999997</v>
      </c>
      <c r="N50" s="1">
        <v>0</v>
      </c>
      <c r="O50" s="1">
        <v>2.4089349000000002</v>
      </c>
    </row>
    <row r="51" spans="1:15" x14ac:dyDescent="0.25">
      <c r="A51" s="3">
        <v>45043.208333333336</v>
      </c>
      <c r="B51" s="2">
        <v>284</v>
      </c>
      <c r="C51" s="1">
        <v>5.2941176470000002</v>
      </c>
      <c r="D51" s="1">
        <v>0</v>
      </c>
      <c r="E51" s="1">
        <v>5.7944035333333304</v>
      </c>
      <c r="K51" s="3">
        <v>45166.638888888891</v>
      </c>
      <c r="L51" s="2">
        <v>483</v>
      </c>
      <c r="M51" s="1">
        <v>23.571428569999998</v>
      </c>
      <c r="N51" s="1">
        <v>0</v>
      </c>
      <c r="O51" s="1">
        <v>9.0860785666666608</v>
      </c>
    </row>
    <row r="52" spans="1:15" x14ac:dyDescent="0.25">
      <c r="A52" s="3">
        <v>45043.625</v>
      </c>
      <c r="B52" s="2">
        <v>286</v>
      </c>
      <c r="C52" s="1">
        <v>7.5</v>
      </c>
      <c r="D52" s="1">
        <v>0</v>
      </c>
      <c r="E52" s="1">
        <v>8.7752321066666603</v>
      </c>
    </row>
    <row r="53" spans="1:15" x14ac:dyDescent="0.25">
      <c r="A53" s="3">
        <v>45044.041666666664</v>
      </c>
      <c r="B53" s="2">
        <v>288</v>
      </c>
      <c r="C53" s="1">
        <v>8.125</v>
      </c>
      <c r="D53" s="1">
        <v>0</v>
      </c>
      <c r="E53" s="1">
        <v>8.3964748666666598</v>
      </c>
    </row>
    <row r="54" spans="1:15" x14ac:dyDescent="0.25">
      <c r="A54" s="3">
        <v>45044.25</v>
      </c>
      <c r="B54" s="2">
        <v>289</v>
      </c>
      <c r="C54" s="1">
        <v>11.612903230000001</v>
      </c>
      <c r="D54" s="1">
        <v>0</v>
      </c>
      <c r="E54" s="1">
        <v>11.483500266666599</v>
      </c>
    </row>
    <row r="55" spans="1:15" x14ac:dyDescent="0.25">
      <c r="A55" s="3">
        <v>45044.458333333336</v>
      </c>
      <c r="B55" s="2">
        <v>290</v>
      </c>
      <c r="C55" s="1">
        <v>8.125</v>
      </c>
      <c r="D55" s="1">
        <v>0</v>
      </c>
      <c r="E55" s="1">
        <v>5.4046995333333303</v>
      </c>
    </row>
    <row r="56" spans="1:15" x14ac:dyDescent="0.25">
      <c r="A56" s="3">
        <v>45044.875</v>
      </c>
      <c r="B56" s="2">
        <v>302</v>
      </c>
      <c r="C56" s="1">
        <v>3.75</v>
      </c>
      <c r="D56" s="1">
        <v>0</v>
      </c>
      <c r="E56" s="1">
        <v>5.62346873333333</v>
      </c>
    </row>
    <row r="57" spans="1:15" x14ac:dyDescent="0.25">
      <c r="A57" s="3">
        <v>45045.083333333336</v>
      </c>
      <c r="B57" s="2">
        <v>303</v>
      </c>
      <c r="C57" s="1">
        <v>11.25</v>
      </c>
      <c r="D57" s="1">
        <v>0</v>
      </c>
      <c r="E57" s="1">
        <v>6.59702113333333</v>
      </c>
    </row>
    <row r="58" spans="1:15" x14ac:dyDescent="0.25">
      <c r="A58" s="3">
        <v>45045.5</v>
      </c>
      <c r="B58" s="2">
        <v>304</v>
      </c>
      <c r="C58" s="1">
        <v>4.6666666670000003</v>
      </c>
      <c r="D58" s="1">
        <v>0</v>
      </c>
      <c r="E58" s="1">
        <v>4.8982727333333296</v>
      </c>
    </row>
    <row r="59" spans="1:15" x14ac:dyDescent="0.25">
      <c r="A59" s="3">
        <v>45045.708333333336</v>
      </c>
      <c r="B59" s="2">
        <v>305</v>
      </c>
      <c r="C59" s="1">
        <v>14.545454550000001</v>
      </c>
      <c r="D59" s="1">
        <v>0</v>
      </c>
      <c r="E59" s="1">
        <v>12.434267999999999</v>
      </c>
    </row>
    <row r="60" spans="1:15" x14ac:dyDescent="0.25">
      <c r="A60" s="3">
        <v>45045.916666666664</v>
      </c>
      <c r="B60" s="2">
        <v>306</v>
      </c>
      <c r="C60" s="1">
        <v>9.2857142859999993</v>
      </c>
      <c r="D60" s="1">
        <v>0</v>
      </c>
      <c r="E60" s="1">
        <v>8.70769666666666</v>
      </c>
    </row>
    <row r="61" spans="1:15" x14ac:dyDescent="0.25">
      <c r="A61" s="3">
        <v>45046.125</v>
      </c>
      <c r="B61" s="2">
        <v>307</v>
      </c>
      <c r="C61" s="1">
        <v>6.875</v>
      </c>
      <c r="D61" s="1">
        <v>0</v>
      </c>
      <c r="E61" s="1">
        <v>10.258584000000001</v>
      </c>
    </row>
    <row r="62" spans="1:15" x14ac:dyDescent="0.25">
      <c r="A62" s="3">
        <v>45046.333333333336</v>
      </c>
      <c r="B62" s="2">
        <v>308</v>
      </c>
      <c r="C62" s="1">
        <v>2.5</v>
      </c>
      <c r="D62" s="1">
        <v>0</v>
      </c>
      <c r="E62" s="1">
        <v>7.5019323999999896</v>
      </c>
    </row>
    <row r="63" spans="1:15" x14ac:dyDescent="0.25">
      <c r="A63" s="3">
        <v>45046.958333333336</v>
      </c>
      <c r="B63" s="2">
        <v>311</v>
      </c>
      <c r="C63" s="1">
        <v>14</v>
      </c>
      <c r="D63" s="1">
        <v>0</v>
      </c>
      <c r="E63" s="1">
        <v>20.852958666666598</v>
      </c>
    </row>
    <row r="64" spans="1:15" x14ac:dyDescent="0.25">
      <c r="A64" s="3">
        <v>45047.166666666664</v>
      </c>
      <c r="B64" s="2">
        <v>312</v>
      </c>
      <c r="C64" s="1">
        <v>10</v>
      </c>
      <c r="D64" s="1">
        <v>0</v>
      </c>
      <c r="E64" s="1">
        <v>12.526063343999899</v>
      </c>
    </row>
    <row r="65" spans="1:5" x14ac:dyDescent="0.25">
      <c r="A65" s="3">
        <v>45047.375</v>
      </c>
      <c r="B65" s="2">
        <v>313</v>
      </c>
      <c r="C65" s="1">
        <v>8.125</v>
      </c>
      <c r="D65" s="1">
        <v>0</v>
      </c>
      <c r="E65" s="1">
        <v>9.3400750666666603</v>
      </c>
    </row>
    <row r="66" spans="1:5" x14ac:dyDescent="0.25">
      <c r="A66" s="3">
        <v>45047.583333333336</v>
      </c>
      <c r="B66" s="2">
        <v>314</v>
      </c>
      <c r="C66" s="1">
        <v>13.52941176</v>
      </c>
      <c r="D66" s="1">
        <v>0</v>
      </c>
      <c r="E66" s="1">
        <v>12.602335333333301</v>
      </c>
    </row>
    <row r="67" spans="1:5" x14ac:dyDescent="0.25">
      <c r="A67" s="3">
        <v>45048.125</v>
      </c>
      <c r="B67" s="2">
        <v>329</v>
      </c>
      <c r="C67" s="1">
        <v>10</v>
      </c>
      <c r="D67" s="1">
        <v>0</v>
      </c>
      <c r="E67" s="1">
        <v>12.6200733333333</v>
      </c>
    </row>
    <row r="68" spans="1:5" x14ac:dyDescent="0.25">
      <c r="A68" s="3">
        <v>45048.708333333336</v>
      </c>
      <c r="B68" s="2">
        <v>331</v>
      </c>
      <c r="C68" s="1">
        <v>4.375</v>
      </c>
      <c r="D68" s="1">
        <v>0</v>
      </c>
      <c r="E68" s="1">
        <v>10.38581286</v>
      </c>
    </row>
    <row r="69" spans="1:5" x14ac:dyDescent="0.25">
      <c r="A69" s="3">
        <v>45049</v>
      </c>
      <c r="B69" s="2">
        <v>332</v>
      </c>
      <c r="C69" s="1">
        <v>3.3333333330000001</v>
      </c>
      <c r="D69" s="1">
        <v>0</v>
      </c>
      <c r="E69" s="1">
        <v>8.9650455999999998</v>
      </c>
    </row>
    <row r="70" spans="1:5" x14ac:dyDescent="0.25">
      <c r="A70" s="3">
        <v>45049.291666666664</v>
      </c>
      <c r="B70" s="2">
        <v>333</v>
      </c>
      <c r="C70" s="1">
        <v>5</v>
      </c>
      <c r="D70" s="1">
        <v>0</v>
      </c>
      <c r="E70" s="1">
        <v>9.1913850666666601</v>
      </c>
    </row>
    <row r="71" spans="1:5" x14ac:dyDescent="0.25">
      <c r="A71" s="3">
        <v>45050.208333333336</v>
      </c>
      <c r="B71" s="2">
        <v>336</v>
      </c>
      <c r="C71" s="1">
        <v>5.625</v>
      </c>
      <c r="D71" s="1">
        <v>0</v>
      </c>
      <c r="E71" s="1">
        <v>11.1430651333333</v>
      </c>
    </row>
    <row r="72" spans="1:5" x14ac:dyDescent="0.25">
      <c r="A72" s="3">
        <v>45050.583333333336</v>
      </c>
      <c r="B72" s="2">
        <v>337</v>
      </c>
      <c r="C72" s="1">
        <v>1.2903225810000001</v>
      </c>
      <c r="D72" s="1">
        <v>0</v>
      </c>
      <c r="E72" s="1">
        <v>10.366192399999999</v>
      </c>
    </row>
    <row r="73" spans="1:5" x14ac:dyDescent="0.25">
      <c r="A73" s="3">
        <v>45051.208333333336</v>
      </c>
      <c r="B73" s="2">
        <v>340</v>
      </c>
      <c r="C73" s="1">
        <v>2.1428571430000001</v>
      </c>
      <c r="D73" s="1">
        <v>0</v>
      </c>
      <c r="E73" s="1">
        <v>4.5956702079999996</v>
      </c>
    </row>
  </sheetData>
  <mergeCells count="4">
    <mergeCell ref="G9:H9"/>
    <mergeCell ref="G2:H2"/>
    <mergeCell ref="Q2:R2"/>
    <mergeCell ref="Q9:R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SSC-turb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Hucke, Nicole (huck4481@vandals.uidaho.edu)</cp:lastModifiedBy>
  <dcterms:created xsi:type="dcterms:W3CDTF">2025-03-25T16:42:30Z</dcterms:created>
  <dcterms:modified xsi:type="dcterms:W3CDTF">2026-06-03T04:59:02Z</dcterms:modified>
</cp:coreProperties>
</file>