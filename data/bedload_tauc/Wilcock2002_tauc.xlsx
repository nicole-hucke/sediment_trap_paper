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bedload_tauc\"/>
    </mc:Choice>
  </mc:AlternateContent>
  <xr:revisionPtr revIDLastSave="0" documentId="13_ncr:1_{66E04FD6-7613-407A-8EB7-F2C8320888B3}" xr6:coauthVersionLast="47" xr6:coauthVersionMax="47" xr10:uidLastSave="{00000000-0000-0000-0000-000000000000}"/>
  <bookViews>
    <workbookView xWindow="-25320" yWindow="360" windowWidth="25440" windowHeight="15270" activeTab="3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3" l="1"/>
  <c r="B33" i="3"/>
  <c r="B31" i="3"/>
  <c r="B40" i="3"/>
  <c r="B41" i="3"/>
  <c r="B42" i="3"/>
  <c r="B43" i="3"/>
  <c r="B44" i="3"/>
  <c r="B23" i="3"/>
  <c r="B24" i="3"/>
  <c r="B25" i="3"/>
  <c r="B26" i="3"/>
  <c r="B27" i="3"/>
  <c r="B28" i="3"/>
  <c r="B29" i="3"/>
  <c r="B30" i="3"/>
  <c r="B32" i="3"/>
  <c r="B34" i="3"/>
  <c r="B36" i="3"/>
  <c r="B37" i="3"/>
  <c r="B38" i="3"/>
  <c r="B39" i="3"/>
  <c r="B22" i="3"/>
  <c r="B17" i="3"/>
  <c r="K32" i="2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L16" i="4"/>
  <c r="L17" i="4" s="1"/>
  <c r="L18" i="4" s="1"/>
  <c r="L19" i="4" s="1"/>
  <c r="L20" i="4" s="1"/>
  <c r="L21" i="4" s="1"/>
  <c r="L22" i="4" s="1"/>
  <c r="L15" i="4"/>
  <c r="L14" i="4"/>
  <c r="L10" i="4"/>
  <c r="K15" i="4"/>
  <c r="L12" i="4"/>
  <c r="K12" i="4" s="1"/>
  <c r="L13" i="4"/>
  <c r="K14" i="4" s="1"/>
  <c r="K16" i="4"/>
  <c r="K17" i="4"/>
  <c r="K18" i="4"/>
  <c r="K19" i="4"/>
  <c r="K20" i="4"/>
  <c r="K21" i="4"/>
  <c r="K22" i="4"/>
  <c r="L11" i="4"/>
  <c r="K10" i="4"/>
  <c r="L9" i="4"/>
  <c r="L8" i="4"/>
  <c r="K8" i="4" s="1"/>
  <c r="L7" i="4"/>
  <c r="G22" i="4"/>
  <c r="G21" i="4"/>
  <c r="L4" i="4"/>
  <c r="L3" i="4"/>
  <c r="K5" i="4"/>
  <c r="K6" i="4"/>
  <c r="K7" i="4"/>
  <c r="K4" i="4"/>
  <c r="K3" i="4"/>
  <c r="L41" i="4"/>
  <c r="L42" i="4"/>
  <c r="L43" i="4"/>
  <c r="L44" i="4" s="1"/>
  <c r="I41" i="4"/>
  <c r="I42" i="4"/>
  <c r="I43" i="4"/>
  <c r="I40" i="4"/>
  <c r="H41" i="4"/>
  <c r="F7" i="4"/>
  <c r="F8" i="4"/>
  <c r="F9" i="4"/>
  <c r="F10" i="4"/>
  <c r="F11" i="4"/>
  <c r="F12" i="4"/>
  <c r="F13" i="4"/>
  <c r="F14" i="4"/>
  <c r="F15" i="4"/>
  <c r="F16" i="4"/>
  <c r="F17" i="4"/>
  <c r="F6" i="4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K13" i="4" l="1"/>
  <c r="K11" i="4"/>
  <c r="K9" i="4"/>
  <c r="L5" i="4"/>
  <c r="L6" i="4" s="1"/>
  <c r="C24" i="4"/>
  <c r="C25" i="4" s="1"/>
  <c r="C26" i="4" s="1"/>
  <c r="C27" i="4" s="1"/>
  <c r="C28" i="4" s="1"/>
  <c r="C29" i="4" s="1"/>
  <c r="C30" i="4" s="1"/>
  <c r="C19" i="4"/>
  <c r="C20" i="4" s="1"/>
  <c r="D6" i="4"/>
  <c r="D7" i="4" s="1"/>
  <c r="C31" i="4" l="1"/>
  <c r="C32" i="4" s="1"/>
  <c r="C33" i="4" s="1"/>
  <c r="C34" i="4" s="1"/>
  <c r="C35" i="4" s="1"/>
  <c r="C36" i="4" s="1"/>
  <c r="C37" i="4" s="1"/>
  <c r="C38" i="4" s="1"/>
  <c r="C39" i="4" s="1"/>
  <c r="H32" i="4"/>
  <c r="I32" i="4" s="1"/>
  <c r="L32" i="4" s="1"/>
  <c r="D8" i="4"/>
  <c r="E8" i="4" s="1"/>
  <c r="E7" i="4"/>
  <c r="E6" i="4"/>
  <c r="D9" i="4"/>
  <c r="E9" i="4" s="1"/>
  <c r="C40" i="4" l="1"/>
  <c r="C41" i="4" s="1"/>
  <c r="C42" i="4" s="1"/>
  <c r="C43" i="4" s="1"/>
  <c r="H33" i="4"/>
  <c r="I33" i="4" s="1"/>
  <c r="L33" i="4" s="1"/>
  <c r="D10" i="4"/>
  <c r="E10" i="4" s="1"/>
  <c r="C44" i="4" l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I35" i="4" s="1"/>
  <c r="L35" i="4" s="1"/>
  <c r="D12" i="4"/>
  <c r="E12" i="4" s="1"/>
  <c r="C59" i="4" l="1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H39" i="4" s="1"/>
  <c r="I39" i="4" s="1"/>
  <c r="L39" i="4" s="1"/>
  <c r="D17" i="4"/>
  <c r="E17" i="4" s="1"/>
  <c r="C72" i="4" l="1"/>
  <c r="H40" i="4"/>
  <c r="L40" i="4" s="1"/>
  <c r="H42" i="4"/>
  <c r="F4" i="4" s="1"/>
  <c r="G4" i="4" l="1"/>
  <c r="C73" i="4"/>
  <c r="H43" i="4" s="1"/>
  <c r="F5" i="4" l="1"/>
  <c r="G5" i="4" l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F18" i="4"/>
  <c r="B18" i="3" l="1"/>
  <c r="B46" i="3"/>
  <c r="C27" i="2" l="1"/>
  <c r="G12" i="3"/>
  <c r="G13" i="3" s="1"/>
  <c r="B21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J19" i="2" l="1"/>
  <c r="J18" i="2"/>
  <c r="K18" i="2" s="1"/>
  <c r="J27" i="2"/>
  <c r="J26" i="2"/>
  <c r="J29" i="2" s="1"/>
  <c r="J25" i="2"/>
  <c r="K19" i="2" l="1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<sst xmlns="http://schemas.openxmlformats.org/spreadsheetml/2006/main" count="104" uniqueCount="73">
  <si>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</si>
  <si>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</si>
  <si>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</si>
  <si>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</si>
  <si>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</si>
  <si>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</si>
  <si>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</si>
  <si>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</si>
  <si>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</si>
  <si>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</si>
  <si>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</si>
  <si>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</si>
  <si>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</si>
  <si>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</si>
  <si>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</si>
  <si>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</si>
  <si>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</si>
  <si>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</si>
  <si>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</si>
  <si>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</si>
  <si>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</si>
  <si>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</si>
  <si>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</si>
  <si>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</si>
  <si>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</si>
  <si>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</si>
  <si>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</si>
  <si>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</si>
  <si>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</si>
  <si>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</si>
  <si>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</si>
  <si>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</si>
  <si>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</si>
  <si>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</si>
  <si>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</si>
  <si>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</si>
  <si>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</si>
  <si>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</si>
  <si>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</si>
  <si>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</si>
  <si>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</si>
  <si>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</si>
  <si>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</si>
  <si>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</si>
  <si>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</si>
  <si>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</si>
  <si>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</si>
  <si>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</si>
  <si>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</si>
  <si>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</si>
  <si>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</si>
  <si>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</si>
  <si>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</si>
  <si>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</si>
  <si>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</si>
  <si>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</si>
  <si>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</si>
  <si>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</si>
  <si>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</si>
  <si>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</si>
  <si>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</si>
  <si>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</si>
  <si>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</si>
  <si>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</si>
  <si>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</si>
  <si>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</si>
  <si>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</si>
  <si>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</si>
  <si>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</si>
  <si>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</si>
  <si>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</si>
  <si>
    <t>Fines (&lt;0.5)</t>
  </si>
  <si>
    <t xml:space="preserve">using Tri*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</si>
</sst>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workbookViewId="0">
      <selection activeCell="H14" sqref="H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66" t="s">
        <v>70</v>
      </c>
      <c r="K1" s="66"/>
      <c r="L1" s="66"/>
    </row>
    <row r="2" spans="2:19" x14ac:dyDescent="0.25">
      <c r="B2" s="61" t="s">
        <v>42</v>
      </c>
      <c r="C2" s="62"/>
      <c r="D2" s="62" t="s">
        <v>62</v>
      </c>
      <c r="E2" s="63"/>
      <c r="F2" s="64" t="s">
        <v>63</v>
      </c>
      <c r="G2" s="65"/>
      <c r="J2" s="8" t="s">
        <v>10</v>
      </c>
      <c r="K2" s="8" t="s">
        <v>11</v>
      </c>
      <c r="L2" s="8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16"/>
      <c r="N3" s="16"/>
    </row>
    <row r="4" spans="2:19" x14ac:dyDescent="0.25">
      <c r="B4" s="9" t="s">
        <v>47</v>
      </c>
      <c r="C4" s="9">
        <v>10</v>
      </c>
      <c r="D4" s="39">
        <v>0</v>
      </c>
      <c r="E4" s="40">
        <f>D4/$D$18*100</f>
        <v>0</v>
      </c>
      <c r="F4" s="56">
        <f>SUM(L32:L42)</f>
        <v>1.990567778890236E-2</v>
      </c>
      <c r="G4" s="55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2"/>
      <c r="N4" s="1"/>
    </row>
    <row r="5" spans="2:19" x14ac:dyDescent="0.25">
      <c r="B5" s="9">
        <v>1</v>
      </c>
      <c r="C5" s="41"/>
      <c r="D5" s="41"/>
      <c r="E5" s="41"/>
      <c r="F5" s="2">
        <f>L43</f>
        <v>2.5343191042496417E-2</v>
      </c>
      <c r="G5" s="2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6" si="1">K5+L4</f>
        <v>1.9242283205873113E-2</v>
      </c>
      <c r="M5" s="2"/>
      <c r="N5" s="1"/>
      <c r="P5" s="60"/>
      <c r="Q5" s="60"/>
    </row>
    <row r="6" spans="2:19" x14ac:dyDescent="0.25">
      <c r="B6" s="9">
        <v>4</v>
      </c>
      <c r="C6" s="9">
        <v>0</v>
      </c>
      <c r="D6" s="9">
        <f>C6+D4</f>
        <v>0</v>
      </c>
      <c r="E6" s="42">
        <f>D6/$D$18*100</f>
        <v>0</v>
      </c>
      <c r="F6" s="3">
        <f>C6/$C$19</f>
        <v>0</v>
      </c>
      <c r="G6" s="2">
        <f t="shared" ref="G6:G17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2"/>
      <c r="N6" s="1"/>
      <c r="P6" s="16"/>
      <c r="Q6" s="16"/>
      <c r="R6" s="16"/>
      <c r="S6" s="1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2">
        <f t="shared" ref="E7:E17" si="4">D7/$D$18*100</f>
        <v>0</v>
      </c>
      <c r="F7" s="3">
        <f t="shared" ref="F7:F17" si="5">C7/$C$19</f>
        <v>0</v>
      </c>
      <c r="G7" s="2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2"/>
      <c r="N7" s="1"/>
      <c r="P7" s="1"/>
      <c r="Q7" s="2"/>
      <c r="R7" s="2"/>
      <c r="S7" s="1"/>
    </row>
    <row r="8" spans="2:19" x14ac:dyDescent="0.25">
      <c r="B8" s="9">
        <v>8</v>
      </c>
      <c r="C8" s="9">
        <v>0</v>
      </c>
      <c r="D8" s="9">
        <f t="shared" si="3"/>
        <v>0</v>
      </c>
      <c r="E8" s="42">
        <f t="shared" si="4"/>
        <v>0</v>
      </c>
      <c r="F8" s="3">
        <f t="shared" si="5"/>
        <v>0</v>
      </c>
      <c r="G8" s="2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2"/>
      <c r="N8" s="1"/>
      <c r="P8" s="1"/>
      <c r="Q8" s="2"/>
      <c r="R8" s="2"/>
      <c r="S8" s="1"/>
    </row>
    <row r="9" spans="2:19" x14ac:dyDescent="0.25">
      <c r="B9" s="9">
        <v>11</v>
      </c>
      <c r="C9" s="9">
        <v>5</v>
      </c>
      <c r="D9" s="9">
        <f t="shared" si="3"/>
        <v>5</v>
      </c>
      <c r="E9" s="42">
        <f t="shared" si="4"/>
        <v>2.3696682464454977</v>
      </c>
      <c r="F9" s="3">
        <f t="shared" si="5"/>
        <v>2.2624434389140271E-2</v>
      </c>
      <c r="G9" s="2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2"/>
      <c r="N9" s="1"/>
      <c r="P9" s="1"/>
      <c r="Q9" s="2"/>
      <c r="R9" s="2"/>
      <c r="S9" s="1"/>
    </row>
    <row r="10" spans="2:19" x14ac:dyDescent="0.25">
      <c r="B10" s="9">
        <v>16</v>
      </c>
      <c r="C10" s="9">
        <v>10</v>
      </c>
      <c r="D10" s="9">
        <f t="shared" si="3"/>
        <v>15</v>
      </c>
      <c r="E10" s="42">
        <f t="shared" si="4"/>
        <v>7.109004739336493</v>
      </c>
      <c r="F10" s="3">
        <f t="shared" si="5"/>
        <v>4.5248868778280542E-2</v>
      </c>
      <c r="G10" s="2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2"/>
      <c r="N10" s="1"/>
      <c r="P10" s="1"/>
      <c r="Q10" s="2"/>
      <c r="R10" s="2"/>
      <c r="S10" s="1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2">
        <f t="shared" si="4"/>
        <v>18.957345971563981</v>
      </c>
      <c r="F11" s="3">
        <f t="shared" si="5"/>
        <v>0.11312217194570136</v>
      </c>
      <c r="G11" s="2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2"/>
      <c r="N11" s="1"/>
      <c r="P11" s="1"/>
      <c r="Q11" s="2"/>
      <c r="R11" s="2"/>
      <c r="S11" s="1"/>
    </row>
    <row r="12" spans="2:19" x14ac:dyDescent="0.25">
      <c r="B12" s="43">
        <v>32</v>
      </c>
      <c r="C12" s="43">
        <v>27</v>
      </c>
      <c r="D12" s="43">
        <f t="shared" si="3"/>
        <v>67</v>
      </c>
      <c r="E12" s="44">
        <f t="shared" si="4"/>
        <v>31.753554502369667</v>
      </c>
      <c r="F12" s="3">
        <f t="shared" si="5"/>
        <v>0.12217194570135746</v>
      </c>
      <c r="G12" s="2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2"/>
      <c r="N12" s="1"/>
      <c r="P12" s="1"/>
      <c r="Q12" s="2"/>
      <c r="R12" s="2"/>
      <c r="S12" s="1"/>
    </row>
    <row r="13" spans="2:19" x14ac:dyDescent="0.25">
      <c r="B13" s="43">
        <v>45</v>
      </c>
      <c r="C13" s="43">
        <v>43</v>
      </c>
      <c r="D13" s="43">
        <f t="shared" si="3"/>
        <v>110</v>
      </c>
      <c r="E13" s="44">
        <f t="shared" si="4"/>
        <v>52.132701421800952</v>
      </c>
      <c r="F13" s="3">
        <f t="shared" si="5"/>
        <v>0.19457013574660634</v>
      </c>
      <c r="G13" s="2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2"/>
      <c r="N13" s="1"/>
      <c r="P13" s="1"/>
      <c r="Q13" s="2"/>
      <c r="R13" s="2"/>
      <c r="S13" s="1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2">
        <f t="shared" si="4"/>
        <v>72.511848341232238</v>
      </c>
      <c r="F14" s="3">
        <f t="shared" si="5"/>
        <v>0.19457013574660634</v>
      </c>
      <c r="G14" s="2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2"/>
      <c r="N14" s="1"/>
      <c r="P14" s="1"/>
      <c r="Q14" s="2"/>
      <c r="R14" s="2"/>
      <c r="S14" s="1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2">
        <f t="shared" si="4"/>
        <v>89.099526066350705</v>
      </c>
      <c r="F15" s="3">
        <f t="shared" si="5"/>
        <v>0.15837104072398189</v>
      </c>
      <c r="G15" s="2">
        <f t="shared" si="2"/>
        <v>0.89592760186307296</v>
      </c>
      <c r="J15" s="22">
        <v>16</v>
      </c>
      <c r="K15" s="23">
        <f t="shared" ref="K15:K22" si="8">F10</f>
        <v>4.5248868778280542E-2</v>
      </c>
      <c r="L15" s="10">
        <f>K15+L14</f>
        <v>0.1131221719988196</v>
      </c>
      <c r="M15" s="2"/>
      <c r="N15" s="1"/>
      <c r="P15" s="1"/>
      <c r="Q15" s="2"/>
      <c r="R15" s="2"/>
      <c r="S15" s="1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2">
        <f t="shared" si="4"/>
        <v>93.838862559241704</v>
      </c>
      <c r="F16" s="3">
        <f t="shared" si="5"/>
        <v>4.5248868778280542E-2</v>
      </c>
      <c r="G16" s="2">
        <f t="shared" si="2"/>
        <v>0.94117647064135346</v>
      </c>
      <c r="J16" s="22">
        <v>22.6</v>
      </c>
      <c r="K16" s="23">
        <f t="shared" si="8"/>
        <v>0.11312217194570136</v>
      </c>
      <c r="L16" s="10">
        <f t="shared" ref="L16:L22" si="9">K16+L15</f>
        <v>0.22624434394452098</v>
      </c>
      <c r="M16" s="2"/>
      <c r="N16" s="1"/>
      <c r="P16" s="1"/>
      <c r="Q16" s="2"/>
      <c r="R16" s="2"/>
      <c r="S16" s="1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2">
        <f t="shared" si="4"/>
        <v>100</v>
      </c>
      <c r="F17" s="3">
        <f t="shared" si="5"/>
        <v>5.8823529411764705E-2</v>
      </c>
      <c r="G17" s="2">
        <f t="shared" si="2"/>
        <v>1.0000000000531182</v>
      </c>
      <c r="J17" s="22">
        <v>32</v>
      </c>
      <c r="K17" s="23">
        <f t="shared" si="8"/>
        <v>0.12217194570135746</v>
      </c>
      <c r="L17" s="10">
        <f t="shared" si="9"/>
        <v>0.34841628964587845</v>
      </c>
      <c r="M17" s="2"/>
      <c r="N17" s="1"/>
      <c r="P17" s="1"/>
      <c r="Q17" s="2"/>
      <c r="R17" s="2"/>
      <c r="S17" s="1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3">
        <f>SUM(F4:F17)</f>
        <v>1.0000000000531182</v>
      </c>
      <c r="G18" s="2"/>
      <c r="J18" s="22">
        <v>45</v>
      </c>
      <c r="K18" s="23">
        <f t="shared" si="8"/>
        <v>0.19457013574660634</v>
      </c>
      <c r="L18" s="10">
        <f t="shared" si="9"/>
        <v>0.54298642539248476</v>
      </c>
      <c r="M18" s="2"/>
      <c r="N18" s="1"/>
      <c r="P18" s="1"/>
      <c r="Q18" s="2"/>
      <c r="R18" s="2"/>
      <c r="S18" s="1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 t="shared" si="8"/>
        <v>0.19457013574660634</v>
      </c>
      <c r="L19" s="10">
        <f t="shared" si="9"/>
        <v>0.73755656113909107</v>
      </c>
      <c r="M19" s="2"/>
      <c r="N19" s="1"/>
      <c r="P19" s="1"/>
      <c r="Q19" s="2"/>
      <c r="R19" s="2"/>
      <c r="S19" s="1"/>
    </row>
    <row r="20" spans="2:19" x14ac:dyDescent="0.25">
      <c r="B20" s="51" t="s">
        <v>49</v>
      </c>
      <c r="C20" s="52">
        <f>C4/C19*100</f>
        <v>4.5248868778280542</v>
      </c>
      <c r="F20" s="47" t="s">
        <v>69</v>
      </c>
      <c r="G20" s="1"/>
      <c r="J20" s="9">
        <v>90</v>
      </c>
      <c r="K20" s="10">
        <f t="shared" si="8"/>
        <v>0.15837104072398189</v>
      </c>
      <c r="L20" s="10">
        <f t="shared" si="9"/>
        <v>0.89592760186307296</v>
      </c>
      <c r="M20" s="2"/>
      <c r="N20" s="1"/>
      <c r="P20" s="1"/>
      <c r="Q20" s="2"/>
      <c r="R20" s="2"/>
      <c r="S20" s="1"/>
    </row>
    <row r="21" spans="2:19" x14ac:dyDescent="0.25">
      <c r="F21" s="1" t="s">
        <v>67</v>
      </c>
      <c r="G21" s="54">
        <f>(G5-G9)/(B5-B9)</f>
        <v>2.2624434389140274E-3</v>
      </c>
      <c r="J21" s="9">
        <v>128</v>
      </c>
      <c r="K21" s="10">
        <f t="shared" si="8"/>
        <v>4.5248868778280542E-2</v>
      </c>
      <c r="L21" s="10">
        <f t="shared" si="9"/>
        <v>0.94117647064135346</v>
      </c>
      <c r="M21" s="2"/>
      <c r="N21" s="1"/>
      <c r="P21" s="1"/>
      <c r="Q21" s="2"/>
      <c r="R21" s="2"/>
      <c r="S21" s="1"/>
    </row>
    <row r="22" spans="2:19" x14ac:dyDescent="0.25">
      <c r="B22" s="1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 t="shared" si="8"/>
        <v>5.8823529411764705E-2</v>
      </c>
      <c r="L22" s="10">
        <f t="shared" si="9"/>
        <v>1.0000000000531182</v>
      </c>
      <c r="M22" s="2"/>
      <c r="N22" s="1"/>
      <c r="P22" s="1"/>
      <c r="Q22" s="2"/>
      <c r="R22" s="2"/>
      <c r="S22" s="1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"/>
      <c r="P23" s="1"/>
      <c r="Q23" s="2"/>
      <c r="R23" s="2"/>
      <c r="S23" s="1"/>
    </row>
    <row r="24" spans="2:19" x14ac:dyDescent="0.25">
      <c r="B24" s="45">
        <v>0.37</v>
      </c>
      <c r="C24" s="3">
        <f>D24</f>
        <v>1.4521943478260869E-2</v>
      </c>
      <c r="D24" s="46">
        <v>1.4521943478260869E-2</v>
      </c>
      <c r="P24" s="1"/>
      <c r="Q24" s="2"/>
      <c r="R24" s="2"/>
      <c r="S24" s="1"/>
    </row>
    <row r="25" spans="2:19" x14ac:dyDescent="0.25">
      <c r="B25" s="45">
        <v>0.44</v>
      </c>
      <c r="C25" s="3">
        <f t="shared" ref="C25:C73" si="10">D25+C24</f>
        <v>2.9906226086956519E-2</v>
      </c>
      <c r="D25" s="46">
        <v>1.5384282608695652E-2</v>
      </c>
      <c r="P25" s="1"/>
      <c r="Q25" s="2"/>
      <c r="R25" s="2"/>
      <c r="S25" s="1"/>
    </row>
    <row r="26" spans="2:19" x14ac:dyDescent="0.25">
      <c r="B26" s="45">
        <v>0.52</v>
      </c>
      <c r="C26" s="3">
        <f t="shared" si="10"/>
        <v>4.6655078260869565E-2</v>
      </c>
      <c r="D26" s="46">
        <v>1.6748852173913042E-2</v>
      </c>
      <c r="P26" s="16"/>
      <c r="Q26" s="1"/>
      <c r="S26" s="1"/>
    </row>
    <row r="27" spans="2:19" x14ac:dyDescent="0.25">
      <c r="B27" s="45">
        <v>0.61</v>
      </c>
      <c r="C27" s="3">
        <f t="shared" si="10"/>
        <v>6.5399752173913042E-2</v>
      </c>
      <c r="D27" s="46">
        <v>1.8744673913043474E-2</v>
      </c>
    </row>
    <row r="28" spans="2:19" x14ac:dyDescent="0.25">
      <c r="B28" s="45">
        <v>0.72</v>
      </c>
      <c r="C28" s="3">
        <f t="shared" si="10"/>
        <v>8.6922495652173914E-2</v>
      </c>
      <c r="D28" s="46">
        <v>2.1522743478260869E-2</v>
      </c>
    </row>
    <row r="29" spans="2:19" x14ac:dyDescent="0.25">
      <c r="B29" s="45">
        <v>0.85</v>
      </c>
      <c r="C29" s="3">
        <f t="shared" si="10"/>
        <v>0.11223754782608694</v>
      </c>
      <c r="D29" s="46">
        <v>2.5315052173913034E-2</v>
      </c>
    </row>
    <row r="30" spans="2:19" x14ac:dyDescent="0.25">
      <c r="B30" s="45">
        <v>1.01</v>
      </c>
      <c r="C30" s="3">
        <f t="shared" si="10"/>
        <v>0.14369522173913041</v>
      </c>
      <c r="D30" s="46">
        <v>3.1457673913043473E-2</v>
      </c>
      <c r="G30" t="s">
        <v>55</v>
      </c>
      <c r="K30" t="s">
        <v>59</v>
      </c>
    </row>
    <row r="31" spans="2:19" x14ac:dyDescent="0.25">
      <c r="B31" s="45">
        <v>1.19</v>
      </c>
      <c r="C31" s="3">
        <f t="shared" si="10"/>
        <v>0.18734088260869564</v>
      </c>
      <c r="D31" s="46">
        <v>4.3645660869565228E-2</v>
      </c>
      <c r="F31" s="48" t="s">
        <v>54</v>
      </c>
      <c r="G31" s="50" t="s">
        <v>56</v>
      </c>
      <c r="H31" s="8" t="s">
        <v>57</v>
      </c>
      <c r="I31" s="1" t="s">
        <v>51</v>
      </c>
      <c r="K31" s="50" t="s">
        <v>56</v>
      </c>
      <c r="L31" s="1" t="s">
        <v>60</v>
      </c>
    </row>
    <row r="32" spans="2:19" x14ac:dyDescent="0.25">
      <c r="B32" s="45">
        <v>1.4</v>
      </c>
      <c r="C32" s="3">
        <f t="shared" si="10"/>
        <v>0.25067402608695649</v>
      </c>
      <c r="D32" s="46">
        <v>6.333314347826087E-2</v>
      </c>
      <c r="F32" s="48">
        <v>1</v>
      </c>
      <c r="G32" s="50">
        <f>1/1000</f>
        <v>1E-3</v>
      </c>
      <c r="H32" s="42">
        <f>C30</f>
        <v>0.14369522173913041</v>
      </c>
      <c r="I32" s="3">
        <f>H32</f>
        <v>0.14369522173913041</v>
      </c>
      <c r="K32" s="50">
        <f>1/1000</f>
        <v>1E-3</v>
      </c>
      <c r="L32" s="53">
        <f>I32*$C$20/10000</f>
        <v>6.5020462325398381E-5</v>
      </c>
    </row>
    <row r="33" spans="2:12" x14ac:dyDescent="0.25">
      <c r="B33" s="45">
        <v>1.65</v>
      </c>
      <c r="C33" s="3">
        <f t="shared" si="10"/>
        <v>0.329392652173913</v>
      </c>
      <c r="D33" s="46">
        <v>7.8718626086956511E-2</v>
      </c>
      <c r="F33" s="48">
        <v>5</v>
      </c>
      <c r="G33" s="50">
        <f>5/1000</f>
        <v>5.0000000000000001E-3</v>
      </c>
      <c r="H33" s="42">
        <f>C39 + (F33 - B39) * ((C40 - C39) / (B40 - B39))</f>
        <v>1.1092679565217392</v>
      </c>
      <c r="I33" s="3">
        <f>H33-H32</f>
        <v>0.96557273478260874</v>
      </c>
      <c r="K33" s="50">
        <f>5/1000</f>
        <v>5.0000000000000001E-3</v>
      </c>
      <c r="L33" s="53">
        <f t="shared" ref="L33:L43" si="11">I33*$C$20/10000</f>
        <v>4.3691073972063743E-4</v>
      </c>
    </row>
    <row r="34" spans="2:12" x14ac:dyDescent="0.25">
      <c r="B34" s="45">
        <v>1.95</v>
      </c>
      <c r="C34" s="3">
        <f t="shared" si="10"/>
        <v>0.42033431739130428</v>
      </c>
      <c r="D34" s="46">
        <v>9.094166521739129E-2</v>
      </c>
      <c r="F34" s="48">
        <v>10</v>
      </c>
      <c r="G34" s="50">
        <f>10/1000</f>
        <v>0.01</v>
      </c>
      <c r="H34" s="42">
        <f>C43 + (F34 - B43) * ((C44 - C43) / (B44 - B43))</f>
        <v>1.8372186405518396</v>
      </c>
      <c r="I34" s="3">
        <f t="shared" ref="I34:I39" si="12">H34-H33</f>
        <v>0.72795068403010044</v>
      </c>
      <c r="K34" s="50">
        <f>10/1000</f>
        <v>0.01</v>
      </c>
      <c r="L34" s="53">
        <f t="shared" si="11"/>
        <v>3.2938944978737577E-4</v>
      </c>
    </row>
    <row r="35" spans="2:12" x14ac:dyDescent="0.25">
      <c r="B35" s="45">
        <v>2.2999999999999998</v>
      </c>
      <c r="C35" s="3">
        <f t="shared" si="10"/>
        <v>0.52298628260869562</v>
      </c>
      <c r="D35" s="46">
        <v>0.10265196521739132</v>
      </c>
      <c r="F35" s="48">
        <v>50</v>
      </c>
      <c r="G35" s="50">
        <f>50/1000</f>
        <v>0.05</v>
      </c>
      <c r="H35" s="42">
        <f>C54 + (F35 - B54) * ((C55 - C54) / (B55 - B54))</f>
        <v>5.8736056187979546</v>
      </c>
      <c r="I35" s="3">
        <f t="shared" si="12"/>
        <v>4.0363869782461155</v>
      </c>
      <c r="K35" s="50">
        <f>50/1000</f>
        <v>0.05</v>
      </c>
      <c r="L35" s="53">
        <f t="shared" si="11"/>
        <v>1.8264194471701882E-3</v>
      </c>
    </row>
    <row r="36" spans="2:12" x14ac:dyDescent="0.25">
      <c r="B36" s="45">
        <v>2.72</v>
      </c>
      <c r="C36" s="3">
        <f t="shared" si="10"/>
        <v>0.63402316086956523</v>
      </c>
      <c r="D36" s="46">
        <v>0.11103687826086958</v>
      </c>
      <c r="F36" s="48">
        <v>100</v>
      </c>
      <c r="G36" s="50">
        <f>100/1000</f>
        <v>0.1</v>
      </c>
      <c r="H36" s="42">
        <f>C58 + (F36 - B58) * ((C59 - C58) / (B59 - B58))</f>
        <v>7.8173612272789699</v>
      </c>
      <c r="I36" s="3">
        <f t="shared" si="12"/>
        <v>1.9437556084810153</v>
      </c>
      <c r="K36" s="50">
        <f>100/1000</f>
        <v>0.1</v>
      </c>
      <c r="L36" s="53">
        <f t="shared" si="11"/>
        <v>8.7952742465204319E-4</v>
      </c>
    </row>
    <row r="37" spans="2:12" x14ac:dyDescent="0.25">
      <c r="B37" s="45">
        <v>3.2</v>
      </c>
      <c r="C37" s="3">
        <f t="shared" si="10"/>
        <v>0.75186232608695658</v>
      </c>
      <c r="D37" s="46">
        <v>0.11783916521739132</v>
      </c>
      <c r="F37" s="48">
        <v>200</v>
      </c>
      <c r="G37" s="50">
        <f>200/1000</f>
        <v>0.2</v>
      </c>
      <c r="H37" s="42">
        <f>C63 + (F37 - B63) * ((C64 - C63) / (B64 - B63))</f>
        <v>8.6178874743593035</v>
      </c>
      <c r="I37" s="3">
        <f t="shared" si="12"/>
        <v>0.8005262470803336</v>
      </c>
      <c r="K37" s="50">
        <f>200/1000</f>
        <v>0.2</v>
      </c>
      <c r="L37" s="53">
        <f t="shared" si="11"/>
        <v>3.6222907107707401E-4</v>
      </c>
    </row>
    <row r="38" spans="2:12" x14ac:dyDescent="0.25">
      <c r="B38" s="45">
        <v>3.78</v>
      </c>
      <c r="C38" s="3">
        <f t="shared" si="10"/>
        <v>0.87711632608695655</v>
      </c>
      <c r="D38" s="46">
        <v>0.125254</v>
      </c>
      <c r="F38" s="48">
        <v>300</v>
      </c>
      <c r="G38" s="50">
        <f>300/1000</f>
        <v>0.3</v>
      </c>
      <c r="H38" s="42">
        <f>C67 + (F38 - B67) * ((C68 - C67) / (B68 - B67))</f>
        <v>10.45890106956522</v>
      </c>
      <c r="I38" s="3">
        <f t="shared" si="12"/>
        <v>1.8410135952059168</v>
      </c>
      <c r="K38" s="50">
        <f>300/1000</f>
        <v>0.3</v>
      </c>
      <c r="L38" s="53">
        <f t="shared" si="11"/>
        <v>8.330378258850303E-4</v>
      </c>
    </row>
    <row r="39" spans="2:12" x14ac:dyDescent="0.25">
      <c r="B39" s="45">
        <v>4.46</v>
      </c>
      <c r="C39" s="3">
        <f t="shared" si="10"/>
        <v>1.0122908956521739</v>
      </c>
      <c r="D39" s="46">
        <v>0.1351745695652174</v>
      </c>
      <c r="F39" s="48">
        <v>400</v>
      </c>
      <c r="G39" s="50">
        <v>0.4</v>
      </c>
      <c r="H39" s="42">
        <f>C70 + (F39 - B70) * ((C71 - C70) / (B71 - B70))</f>
        <v>20.684617629353859</v>
      </c>
      <c r="I39" s="3">
        <f t="shared" si="12"/>
        <v>10.225716559788639</v>
      </c>
      <c r="K39" s="50">
        <v>0.4</v>
      </c>
      <c r="L39" s="53">
        <f t="shared" si="11"/>
        <v>4.6270210677776648E-3</v>
      </c>
    </row>
    <row r="40" spans="2:12" x14ac:dyDescent="0.25">
      <c r="B40" s="45">
        <v>5.27</v>
      </c>
      <c r="C40" s="3">
        <f t="shared" si="10"/>
        <v>1.1577564869565218</v>
      </c>
      <c r="D40" s="46">
        <v>0.1454655913043478</v>
      </c>
      <c r="F40" s="48">
        <v>500</v>
      </c>
      <c r="G40" s="50">
        <v>0.5</v>
      </c>
      <c r="H40" s="42">
        <f>C71 + (F40 - B71) * ((C72 - C71) / (B72 - B71))</f>
        <v>39.802684974918094</v>
      </c>
      <c r="I40" s="3">
        <f>H40-H39</f>
        <v>19.118067345564235</v>
      </c>
      <c r="K40" s="50">
        <v>0.5</v>
      </c>
      <c r="L40" s="53">
        <f t="shared" si="11"/>
        <v>8.650709206137662E-3</v>
      </c>
    </row>
    <row r="41" spans="2:12" x14ac:dyDescent="0.25">
      <c r="B41" s="45">
        <v>6.21</v>
      </c>
      <c r="C41" s="3">
        <f t="shared" si="10"/>
        <v>1.3145914695652174</v>
      </c>
      <c r="D41" s="46">
        <v>0.15683498260869566</v>
      </c>
      <c r="F41" s="48">
        <v>630</v>
      </c>
      <c r="G41" s="50">
        <v>0.63</v>
      </c>
      <c r="H41" s="42">
        <f>C71 + (F41 - B71) * ((C72 - C71) / (B72 - B71))</f>
        <v>42.525445884979575</v>
      </c>
      <c r="I41" s="3">
        <f t="shared" ref="I41:I43" si="13">H41-H40</f>
        <v>2.7227609100614814</v>
      </c>
      <c r="K41" s="50">
        <v>0.63</v>
      </c>
      <c r="L41" s="53">
        <f t="shared" si="11"/>
        <v>1.2320185113400368E-3</v>
      </c>
    </row>
    <row r="42" spans="2:12" x14ac:dyDescent="0.25">
      <c r="B42" s="45">
        <v>7.33</v>
      </c>
      <c r="C42" s="3">
        <f t="shared" si="10"/>
        <v>1.4834078391304348</v>
      </c>
      <c r="D42" s="46">
        <v>0.16881636956521742</v>
      </c>
      <c r="F42" s="48">
        <v>700</v>
      </c>
      <c r="G42" s="50">
        <v>0.7</v>
      </c>
      <c r="H42" s="42">
        <f>C71 + (F42 - B71) * ((C72 - C71) / (B72 - B71))</f>
        <v>43.991547913474214</v>
      </c>
      <c r="I42" s="3">
        <f t="shared" si="13"/>
        <v>1.4661020284946389</v>
      </c>
      <c r="K42" s="50">
        <v>0.7</v>
      </c>
      <c r="L42" s="53">
        <f t="shared" si="11"/>
        <v>6.6339458302924835E-4</v>
      </c>
    </row>
    <row r="43" spans="2:12" x14ac:dyDescent="0.25">
      <c r="B43" s="45">
        <v>8.65</v>
      </c>
      <c r="C43" s="3">
        <f t="shared" si="10"/>
        <v>1.6652984695652175</v>
      </c>
      <c r="D43" s="46">
        <v>0.18189063043478262</v>
      </c>
      <c r="F43" s="48">
        <v>1000</v>
      </c>
      <c r="G43" s="50">
        <v>1</v>
      </c>
      <c r="H43" s="42">
        <f>C72 + (F43 - B72) * ((C73 - C72) / (B73 - B72))</f>
        <v>100.00000011739129</v>
      </c>
      <c r="I43" s="3">
        <f t="shared" si="13"/>
        <v>56.008452203917081</v>
      </c>
      <c r="K43" s="50">
        <v>1</v>
      </c>
      <c r="L43" s="53">
        <f t="shared" si="11"/>
        <v>2.5343191042496417E-2</v>
      </c>
    </row>
    <row r="44" spans="2:12" x14ac:dyDescent="0.25">
      <c r="B44" s="45">
        <v>10.210000000000001</v>
      </c>
      <c r="C44" s="3">
        <f t="shared" si="10"/>
        <v>1.8639617782608697</v>
      </c>
      <c r="D44" s="46">
        <v>0.19866330869565213</v>
      </c>
      <c r="G44" s="47" t="s">
        <v>58</v>
      </c>
      <c r="K44" s="1" t="s">
        <v>61</v>
      </c>
      <c r="L44" s="54">
        <f>SUM(L32:L43)</f>
        <v>4.5248868831398781E-2</v>
      </c>
    </row>
    <row r="45" spans="2:12" x14ac:dyDescent="0.25">
      <c r="B45" s="45">
        <v>12.05</v>
      </c>
      <c r="C45" s="3">
        <f t="shared" si="10"/>
        <v>2.0826345956521739</v>
      </c>
      <c r="D45" s="46">
        <v>0.21867281739130434</v>
      </c>
      <c r="L45" s="1" t="s">
        <v>65</v>
      </c>
    </row>
    <row r="46" spans="2:12" x14ac:dyDescent="0.25">
      <c r="B46" s="45">
        <v>14.22</v>
      </c>
      <c r="C46" s="3">
        <f t="shared" si="10"/>
        <v>2.3316030086956521</v>
      </c>
      <c r="D46" s="46">
        <v>0.24896841304347825</v>
      </c>
    </row>
    <row r="47" spans="2:12" x14ac:dyDescent="0.25">
      <c r="B47" s="45">
        <v>16.78</v>
      </c>
      <c r="C47" s="3">
        <f t="shared" si="10"/>
        <v>2.6197704260869563</v>
      </c>
      <c r="D47" s="46">
        <v>0.28816741739130436</v>
      </c>
    </row>
    <row r="48" spans="2:12" x14ac:dyDescent="0.25">
      <c r="B48" s="45">
        <v>19.809999999999999</v>
      </c>
      <c r="C48" s="3">
        <f t="shared" si="10"/>
        <v>2.9570251782608694</v>
      </c>
      <c r="D48" s="46">
        <v>0.33725475217391304</v>
      </c>
    </row>
    <row r="49" spans="2:4" x14ac:dyDescent="0.25">
      <c r="B49" s="45">
        <v>23.37</v>
      </c>
      <c r="C49" s="3">
        <f t="shared" si="10"/>
        <v>3.1096920391304348</v>
      </c>
      <c r="D49" s="46">
        <v>0.15266686086956519</v>
      </c>
    </row>
    <row r="50" spans="2:4" x14ac:dyDescent="0.25">
      <c r="B50" s="45">
        <v>25</v>
      </c>
      <c r="C50" s="3">
        <f t="shared" si="10"/>
        <v>3.3513365173913043</v>
      </c>
      <c r="D50" s="46">
        <v>0.24164447826086954</v>
      </c>
    </row>
    <row r="51" spans="2:4" x14ac:dyDescent="0.25">
      <c r="B51" s="45">
        <v>27.58</v>
      </c>
      <c r="C51" s="3">
        <f t="shared" si="10"/>
        <v>3.8141872173913045</v>
      </c>
      <c r="D51" s="46">
        <v>0.46285069999999995</v>
      </c>
    </row>
    <row r="52" spans="2:4" x14ac:dyDescent="0.25">
      <c r="B52" s="45">
        <v>32.549999999999997</v>
      </c>
      <c r="C52" s="3">
        <f t="shared" si="10"/>
        <v>4.3410367260869567</v>
      </c>
      <c r="D52" s="46">
        <v>0.52684950869565228</v>
      </c>
    </row>
    <row r="53" spans="2:4" x14ac:dyDescent="0.25">
      <c r="B53" s="45">
        <v>38.409999999999997</v>
      </c>
      <c r="C53" s="3">
        <f t="shared" si="10"/>
        <v>4.920636043478261</v>
      </c>
      <c r="D53" s="46">
        <v>0.57959931739130444</v>
      </c>
    </row>
    <row r="54" spans="2:4" x14ac:dyDescent="0.25">
      <c r="B54" s="45">
        <v>45.32</v>
      </c>
      <c r="C54" s="3">
        <f t="shared" si="10"/>
        <v>5.5320725695652175</v>
      </c>
      <c r="D54" s="46">
        <v>0.61143652608695653</v>
      </c>
    </row>
    <row r="55" spans="2:4" x14ac:dyDescent="0.25">
      <c r="B55" s="45">
        <v>53.48</v>
      </c>
      <c r="C55" s="3">
        <f t="shared" si="10"/>
        <v>6.1275660913043479</v>
      </c>
      <c r="D55" s="46">
        <v>0.5954935217391305</v>
      </c>
    </row>
    <row r="56" spans="2:4" x14ac:dyDescent="0.25">
      <c r="B56" s="45">
        <v>63.11</v>
      </c>
      <c r="C56" s="3">
        <f t="shared" si="10"/>
        <v>6.6892284173913046</v>
      </c>
      <c r="D56" s="46">
        <v>0.56166232608695643</v>
      </c>
    </row>
    <row r="57" spans="2:4" x14ac:dyDescent="0.25">
      <c r="B57" s="45">
        <v>74.48</v>
      </c>
      <c r="C57" s="3">
        <f t="shared" si="10"/>
        <v>7.172364091304348</v>
      </c>
      <c r="D57" s="46">
        <v>0.48313567391304357</v>
      </c>
    </row>
    <row r="58" spans="2:4" x14ac:dyDescent="0.25">
      <c r="B58" s="45">
        <v>87.89</v>
      </c>
      <c r="C58" s="3">
        <f t="shared" si="10"/>
        <v>7.5740880043478267</v>
      </c>
      <c r="D58" s="46">
        <v>0.40172391304347826</v>
      </c>
    </row>
    <row r="59" spans="2:4" x14ac:dyDescent="0.25">
      <c r="B59" s="45">
        <v>103.72</v>
      </c>
      <c r="C59" s="3">
        <f t="shared" si="10"/>
        <v>7.8920909043478265</v>
      </c>
      <c r="D59" s="46">
        <v>0.31800290000000003</v>
      </c>
    </row>
    <row r="60" spans="2:4" x14ac:dyDescent="0.25">
      <c r="B60" s="45">
        <v>122.39</v>
      </c>
      <c r="C60" s="3">
        <f t="shared" si="10"/>
        <v>7.9221474608695654</v>
      </c>
      <c r="D60" s="46">
        <v>3.0056556521739126E-2</v>
      </c>
    </row>
    <row r="61" spans="2:4" x14ac:dyDescent="0.25">
      <c r="B61" s="45">
        <v>125</v>
      </c>
      <c r="C61" s="3">
        <f t="shared" si="10"/>
        <v>8.1459018260869573</v>
      </c>
      <c r="D61" s="46">
        <v>0.22375436521739128</v>
      </c>
    </row>
    <row r="62" spans="2:4" x14ac:dyDescent="0.25">
      <c r="B62" s="45">
        <v>144.43</v>
      </c>
      <c r="C62" s="3">
        <f t="shared" si="10"/>
        <v>8.3464342521739141</v>
      </c>
      <c r="D62" s="46">
        <v>0.20053242608695654</v>
      </c>
    </row>
    <row r="63" spans="2:4" x14ac:dyDescent="0.25">
      <c r="B63" s="45">
        <v>170.44</v>
      </c>
      <c r="C63" s="3">
        <f t="shared" si="10"/>
        <v>8.5040216608695669</v>
      </c>
      <c r="D63" s="46">
        <v>0.15758740869565219</v>
      </c>
    </row>
    <row r="64" spans="2:4" x14ac:dyDescent="0.25">
      <c r="B64" s="45">
        <v>201.13</v>
      </c>
      <c r="C64" s="3">
        <f t="shared" si="10"/>
        <v>8.6222402608695674</v>
      </c>
      <c r="D64" s="46">
        <v>0.11821860000000001</v>
      </c>
    </row>
    <row r="65" spans="2:4" x14ac:dyDescent="0.25">
      <c r="B65" s="45">
        <v>237.35</v>
      </c>
      <c r="C65" s="3">
        <f t="shared" si="10"/>
        <v>8.649954221739133</v>
      </c>
      <c r="D65" s="46">
        <v>2.7713960869565214E-2</v>
      </c>
    </row>
    <row r="66" spans="2:4" x14ac:dyDescent="0.25">
      <c r="B66" s="45">
        <v>250</v>
      </c>
      <c r="C66" s="3">
        <f>D66+C65</f>
        <v>8.7158762130434813</v>
      </c>
      <c r="D66" s="46">
        <v>6.5921991304347824E-2</v>
      </c>
    </row>
    <row r="67" spans="2:4" x14ac:dyDescent="0.25">
      <c r="B67" s="45">
        <v>280.08999999999997</v>
      </c>
      <c r="C67" s="3">
        <f t="shared" si="10"/>
        <v>8.7468423260869592</v>
      </c>
      <c r="D67" s="46">
        <v>3.0966113043478259E-2</v>
      </c>
    </row>
    <row r="68" spans="2:4" x14ac:dyDescent="0.25">
      <c r="B68" s="45">
        <v>300</v>
      </c>
      <c r="C68" s="3">
        <f t="shared" si="10"/>
        <v>10.45890106956522</v>
      </c>
      <c r="D68" s="46">
        <v>1.7120587434782608</v>
      </c>
    </row>
    <row r="69" spans="2:4" x14ac:dyDescent="0.25">
      <c r="B69" s="45">
        <v>330.52</v>
      </c>
      <c r="C69" s="3">
        <f t="shared" si="10"/>
        <v>13.774185308695655</v>
      </c>
      <c r="D69" s="46">
        <v>3.3152842391304347</v>
      </c>
    </row>
    <row r="70" spans="2:4" x14ac:dyDescent="0.25">
      <c r="B70" s="45">
        <v>390.04</v>
      </c>
      <c r="C70" s="3">
        <f t="shared" si="10"/>
        <v>17.662748386956522</v>
      </c>
      <c r="D70" s="46">
        <v>3.8885630782608689</v>
      </c>
    </row>
    <row r="71" spans="2:4" x14ac:dyDescent="0.25">
      <c r="B71" s="45">
        <v>460.27</v>
      </c>
      <c r="C71" s="3">
        <f t="shared" si="10"/>
        <v>38.970567352173916</v>
      </c>
      <c r="D71" s="46">
        <v>21.30781896521739</v>
      </c>
    </row>
    <row r="72" spans="2:4" x14ac:dyDescent="0.25">
      <c r="B72" s="45">
        <v>850</v>
      </c>
      <c r="C72" s="3">
        <f t="shared" si="10"/>
        <v>47.13319511739131</v>
      </c>
      <c r="D72" s="46">
        <v>8.1626277652173904</v>
      </c>
    </row>
    <row r="73" spans="2:4" x14ac:dyDescent="0.25">
      <c r="B73" s="45">
        <v>1000</v>
      </c>
      <c r="C73" s="3">
        <f t="shared" si="10"/>
        <v>100.00000011739129</v>
      </c>
      <c r="D73" s="46">
        <v>52.866804999999992</v>
      </c>
    </row>
    <row r="74" spans="2:4" x14ac:dyDescent="0.25">
      <c r="B74" s="1"/>
      <c r="C74" s="3"/>
      <c r="D74" s="49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workbookViewId="0">
      <selection activeCell="V15" sqref="V15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69" t="s">
        <v>16</v>
      </c>
      <c r="I1" s="69"/>
      <c r="J1" s="69"/>
      <c r="K1" s="69"/>
    </row>
    <row r="2" spans="2:11" x14ac:dyDescent="0.25">
      <c r="B2" s="67" t="s">
        <v>9</v>
      </c>
      <c r="C2" s="68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57" t="s">
        <v>10</v>
      </c>
      <c r="C3" s="57" t="s">
        <v>11</v>
      </c>
      <c r="D3" s="57" t="s">
        <v>12</v>
      </c>
      <c r="E3" s="57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71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70" t="s">
        <v>21</v>
      </c>
      <c r="I16" s="70"/>
      <c r="J16" s="70"/>
      <c r="K16" s="70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 t="shared" ref="J18:J28" si="4"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 t="shared" si="4"/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 t="shared" si="4"/>
        <v>4.30416068866571E-3</v>
      </c>
      <c r="K20" s="23">
        <f t="shared" ref="K20:K28" si="5">J20+K19</f>
        <v>1.0043041606886658E-2</v>
      </c>
    </row>
    <row r="21" spans="2:11" x14ac:dyDescent="0.25">
      <c r="B21" s="9">
        <v>90</v>
      </c>
      <c r="C21" s="10">
        <v>0.15837104072398189</v>
      </c>
      <c r="D21" s="10">
        <f t="shared" si="3"/>
        <v>0.89592760186307296</v>
      </c>
      <c r="E21" s="1">
        <f t="shared" si="1"/>
        <v>159</v>
      </c>
      <c r="H21" s="22">
        <v>5.6</v>
      </c>
      <c r="I21" s="25">
        <v>4</v>
      </c>
      <c r="J21" s="23">
        <f t="shared" si="4"/>
        <v>5.7388809182209472E-3</v>
      </c>
      <c r="K21" s="23">
        <f t="shared" si="5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 t="shared" si="4"/>
        <v>8.60832137733142E-3</v>
      </c>
      <c r="K22" s="23">
        <f t="shared" si="5"/>
        <v>2.4390243902439025E-2</v>
      </c>
    </row>
    <row r="23" spans="2:11" x14ac:dyDescent="0.25">
      <c r="B23" s="8">
        <v>180</v>
      </c>
      <c r="C23" s="10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 t="shared" si="4"/>
        <v>1.0043041606886656E-2</v>
      </c>
      <c r="K23" s="23">
        <f t="shared" si="5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 t="shared" si="4"/>
        <v>6.5997130559540887E-2</v>
      </c>
      <c r="K24" s="23">
        <f t="shared" si="5"/>
        <v>0.10043041606886657</v>
      </c>
    </row>
    <row r="25" spans="2:11" x14ac:dyDescent="0.25">
      <c r="H25" s="22">
        <v>22.6</v>
      </c>
      <c r="I25" s="25">
        <v>114</v>
      </c>
      <c r="J25" s="23">
        <f t="shared" si="4"/>
        <v>0.16355810616929697</v>
      </c>
      <c r="K25" s="23">
        <f t="shared" si="5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 t="shared" si="4"/>
        <v>0.17647058823529413</v>
      </c>
      <c r="K26" s="23">
        <f t="shared" si="5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 t="shared" si="4"/>
        <v>0.27977044476327118</v>
      </c>
      <c r="K27" s="23">
        <f t="shared" si="5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 t="shared" si="4"/>
        <v>0.27977044476327118</v>
      </c>
      <c r="K28" s="23">
        <f t="shared" si="5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6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71" t="s">
        <v>3</v>
      </c>
      <c r="I1" s="71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71" t="str">
        <f>B1</f>
        <v>Tri* (Dg/Ds = 10)</v>
      </c>
      <c r="I2" s="71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71" t="str">
        <f>C1</f>
        <v>Tri* (Dg/Ds = 20)</v>
      </c>
      <c r="I6" s="71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71" t="str">
        <f>D1</f>
        <v>Tri* (Dg/Ds = 35)</v>
      </c>
      <c r="I10" s="71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71" t="str">
        <f>E1</f>
        <v>Tri* (Dg/Ds = 50)</v>
      </c>
      <c r="I14" s="71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71" t="str">
        <f>F1</f>
        <v>Tri* (Dg/Ds = 43.4)</v>
      </c>
      <c r="I18" s="71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15"/>
  <sheetViews>
    <sheetView tabSelected="1" topLeftCell="A10" workbookViewId="0">
      <selection activeCell="J21" sqref="J21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59" t="s">
        <v>40</v>
      </c>
      <c r="D1" s="59"/>
      <c r="E1" s="59"/>
      <c r="F1" s="59"/>
      <c r="G1" s="59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A17" s="1" t="s">
        <v>72</v>
      </c>
      <c r="B17" s="58">
        <f>B7</f>
        <v>0.86746324999999902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44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75</v>
      </c>
      <c r="B22" s="2">
        <f t="shared" si="2"/>
        <v>1.0527299244757955</v>
      </c>
      <c r="C22" s="2"/>
      <c r="D22" s="2"/>
      <c r="E22" s="2"/>
    </row>
    <row r="23" spans="1:5" x14ac:dyDescent="0.25">
      <c r="A23" s="8">
        <v>88</v>
      </c>
      <c r="B23" s="2">
        <f t="shared" si="2"/>
        <v>1.2352031113849335</v>
      </c>
      <c r="C23" s="2"/>
      <c r="D23" s="2"/>
      <c r="E23" s="2"/>
    </row>
    <row r="24" spans="1:5" x14ac:dyDescent="0.25">
      <c r="A24" s="8">
        <v>100</v>
      </c>
      <c r="B24" s="2">
        <f t="shared" si="2"/>
        <v>1.403639899301061</v>
      </c>
      <c r="C24" s="2"/>
      <c r="D24" s="2"/>
      <c r="E24" s="2"/>
    </row>
    <row r="25" spans="1:5" x14ac:dyDescent="0.25">
      <c r="A25" s="8">
        <v>144</v>
      </c>
      <c r="B25" s="2">
        <f t="shared" si="2"/>
        <v>2.0212414549935276</v>
      </c>
      <c r="C25" s="2"/>
      <c r="D25" s="2"/>
      <c r="E25" s="2"/>
    </row>
    <row r="26" spans="1:5" x14ac:dyDescent="0.25">
      <c r="A26" s="8">
        <v>200</v>
      </c>
      <c r="B26" s="2">
        <f t="shared" si="2"/>
        <v>2.8072797986021221</v>
      </c>
      <c r="C26" s="2"/>
      <c r="D26" s="2"/>
      <c r="E26" s="2"/>
    </row>
    <row r="27" spans="1:5" x14ac:dyDescent="0.25">
      <c r="A27" s="8">
        <v>280</v>
      </c>
      <c r="B27" s="2">
        <f t="shared" si="2"/>
        <v>3.9301917180429702</v>
      </c>
      <c r="C27" s="2"/>
      <c r="D27" s="2"/>
      <c r="E27" s="2"/>
    </row>
    <row r="28" spans="1:5" x14ac:dyDescent="0.25">
      <c r="A28" s="8">
        <v>330</v>
      </c>
      <c r="B28" s="2">
        <f t="shared" si="2"/>
        <v>4.6320116676935008</v>
      </c>
      <c r="C28" s="2"/>
      <c r="D28" s="2"/>
      <c r="E28" s="2"/>
    </row>
    <row r="29" spans="1:5" x14ac:dyDescent="0.25">
      <c r="A29" s="8">
        <v>460</v>
      </c>
      <c r="B29" s="2">
        <f t="shared" si="2"/>
        <v>6.45674353678488</v>
      </c>
      <c r="C29" s="2"/>
      <c r="D29" s="2"/>
      <c r="E29" s="2"/>
    </row>
    <row r="30" spans="1:5" x14ac:dyDescent="0.25">
      <c r="A30" s="8">
        <v>500</v>
      </c>
      <c r="B30" s="2">
        <f t="shared" si="2"/>
        <v>7.0181994965053045</v>
      </c>
      <c r="C30" s="2"/>
      <c r="D30" s="2"/>
      <c r="E30" s="2"/>
    </row>
    <row r="31" spans="1:5" x14ac:dyDescent="0.25">
      <c r="A31" s="8">
        <v>550</v>
      </c>
      <c r="B31" s="2">
        <f t="shared" si="2"/>
        <v>7.7200194461558356</v>
      </c>
      <c r="C31" s="2"/>
      <c r="D31" s="2"/>
      <c r="E31" s="2"/>
    </row>
    <row r="32" spans="1:5" x14ac:dyDescent="0.25">
      <c r="A32" s="8">
        <v>600</v>
      </c>
      <c r="B32" s="2">
        <f t="shared" si="2"/>
        <v>8.421839395806364</v>
      </c>
      <c r="C32" s="2"/>
      <c r="D32" s="2"/>
      <c r="E32" s="2"/>
    </row>
    <row r="33" spans="1:5" x14ac:dyDescent="0.25">
      <c r="A33" s="8">
        <v>650</v>
      </c>
      <c r="B33" s="2">
        <f t="shared" si="2"/>
        <v>9.1236593454568951</v>
      </c>
      <c r="C33" s="2"/>
      <c r="D33" s="2"/>
      <c r="E33" s="2"/>
    </row>
    <row r="34" spans="1:5" x14ac:dyDescent="0.25">
      <c r="A34" s="8">
        <v>700</v>
      </c>
      <c r="B34" s="2">
        <f t="shared" si="2"/>
        <v>9.8254792951074261</v>
      </c>
      <c r="C34" s="2"/>
      <c r="D34" s="2"/>
      <c r="E34" s="2"/>
    </row>
    <row r="35" spans="1:5" x14ac:dyDescent="0.25">
      <c r="A35" s="8">
        <v>750</v>
      </c>
      <c r="B35" s="2">
        <f t="shared" si="2"/>
        <v>10.527299244757957</v>
      </c>
      <c r="C35" s="2"/>
      <c r="D35" s="2"/>
      <c r="E35" s="2"/>
    </row>
    <row r="36" spans="1:5" x14ac:dyDescent="0.25">
      <c r="A36" s="8">
        <v>850</v>
      </c>
      <c r="B36" s="2">
        <f t="shared" si="2"/>
        <v>11.930939144059018</v>
      </c>
      <c r="C36" s="2"/>
      <c r="D36" s="2"/>
      <c r="E36" s="2"/>
    </row>
    <row r="37" spans="1:5" x14ac:dyDescent="0.25">
      <c r="A37" s="8">
        <v>900</v>
      </c>
      <c r="B37" s="2">
        <f t="shared" si="2"/>
        <v>12.632759093709549</v>
      </c>
      <c r="C37" s="2"/>
      <c r="D37" s="2"/>
      <c r="E37" s="2"/>
    </row>
    <row r="38" spans="1:5" x14ac:dyDescent="0.25">
      <c r="A38" s="8">
        <v>1000</v>
      </c>
      <c r="B38" s="2">
        <f t="shared" si="2"/>
        <v>14.036398993010609</v>
      </c>
      <c r="C38" s="2"/>
      <c r="D38" s="2"/>
      <c r="E38" s="2"/>
    </row>
    <row r="39" spans="1:5" x14ac:dyDescent="0.25">
      <c r="A39" s="8">
        <v>1200</v>
      </c>
      <c r="B39" s="2">
        <f t="shared" si="2"/>
        <v>16.843678791612728</v>
      </c>
      <c r="C39" s="2"/>
      <c r="D39" s="2"/>
      <c r="E39" s="2"/>
    </row>
    <row r="40" spans="1:5" x14ac:dyDescent="0.25">
      <c r="A40" s="8">
        <v>1400</v>
      </c>
      <c r="B40" s="2">
        <f t="shared" si="2"/>
        <v>19.650958590214852</v>
      </c>
      <c r="C40" s="2"/>
      <c r="D40" s="2"/>
      <c r="E40" s="2"/>
    </row>
    <row r="41" spans="1:5" x14ac:dyDescent="0.25">
      <c r="A41" s="8">
        <v>1500</v>
      </c>
      <c r="B41" s="2">
        <f t="shared" si="2"/>
        <v>21.054598489515914</v>
      </c>
      <c r="C41" s="2"/>
      <c r="D41" s="2"/>
      <c r="E41" s="2"/>
    </row>
    <row r="42" spans="1:5" x14ac:dyDescent="0.25">
      <c r="A42" s="8">
        <v>1600</v>
      </c>
      <c r="B42" s="2">
        <f t="shared" si="2"/>
        <v>22.458238388816977</v>
      </c>
      <c r="C42" s="2"/>
      <c r="D42" s="2"/>
      <c r="E42" s="2"/>
    </row>
    <row r="43" spans="1:5" x14ac:dyDescent="0.25">
      <c r="A43" s="8">
        <v>1800</v>
      </c>
      <c r="B43" s="2">
        <f t="shared" si="2"/>
        <v>25.265518187419097</v>
      </c>
      <c r="C43" s="2"/>
      <c r="D43" s="2"/>
      <c r="E43" s="2"/>
    </row>
    <row r="44" spans="1:5" x14ac:dyDescent="0.25">
      <c r="A44" s="8">
        <v>2000</v>
      </c>
      <c r="B44" s="2">
        <f t="shared" si="2"/>
        <v>28.072797986021218</v>
      </c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>
        <v>630</v>
      </c>
      <c r="B46" s="2">
        <f t="shared" ref="B46" si="3">$B$7*($B$11-$B$10)*$B$12*($A46/1000000)</f>
        <v>8.8429313655966837</v>
      </c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</sheetData>
  <mergeCells count="1">
    <mergeCell ref="C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2026-03-27T22:33:19Z</dcterms:modified>
</cp:coreProperties>
</file>