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17CF0953-C8BD-44B7-9AE8-D2A94FF815B4}" xr6:coauthVersionLast="47" xr6:coauthVersionMax="47" xr10:uidLastSave="{00000000-0000-0000-0000-000000000000}"/>
  <bookViews>
    <workbookView xWindow="-120" yWindow="-120" windowWidth="29040" windowHeight="15720" firstSheet="2" activeTab="2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4" l="1"/>
  <c r="I67" i="14"/>
  <c r="I66" i="14"/>
  <c r="I65" i="14"/>
  <c r="H68" i="14"/>
  <c r="H67" i="14"/>
  <c r="H66" i="14"/>
  <c r="H65" i="14"/>
  <c r="I58" i="14"/>
  <c r="K59" i="14"/>
  <c r="K58" i="14"/>
  <c r="K57" i="14"/>
  <c r="K54" i="14"/>
  <c r="J60" i="14"/>
  <c r="J59" i="14"/>
  <c r="J57" i="14"/>
  <c r="J54" i="14"/>
  <c r="I59" i="14"/>
  <c r="I57" i="14"/>
  <c r="I54" i="14"/>
  <c r="H60" i="14"/>
  <c r="H59" i="14"/>
  <c r="H58" i="14"/>
  <c r="H57" i="14"/>
  <c r="H54" i="14"/>
  <c r="H45" i="14"/>
  <c r="H46" i="14"/>
  <c r="H47" i="14"/>
  <c r="K38" i="14"/>
  <c r="I48" i="14"/>
  <c r="I47" i="14"/>
  <c r="I46" i="14"/>
  <c r="I45" i="14"/>
  <c r="K39" i="14"/>
  <c r="K37" i="14"/>
  <c r="K34" i="14"/>
  <c r="J40" i="14"/>
  <c r="J39" i="14"/>
  <c r="J37" i="14"/>
  <c r="J34" i="14"/>
  <c r="H48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J33" i="1"/>
  <c r="AB51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K61" i="14" l="1"/>
  <c r="I69" i="14"/>
  <c r="H69" i="14"/>
  <c r="J61" i="14"/>
  <c r="I61" i="14"/>
  <c r="H61" i="14"/>
  <c r="K41" i="14"/>
  <c r="I41" i="14"/>
  <c r="I49" i="14"/>
  <c r="J41" i="14"/>
  <c r="H41" i="14"/>
  <c r="H49" i="14"/>
  <c r="A5" i="14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<sst xmlns="http://schemas.openxmlformats.org/spreadsheetml/2006/main" count="2172" uniqueCount="200">
  <si>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</si>
  <si>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</si>
  <si>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</si>
  <si>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</si>
  <si>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</si>
  <si>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</si>
  <si>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</si>
  <si>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</si>
  <si>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</si>
  <si>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</si>
  <si>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</si>
  <si>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</si>
  <si>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</si>
  <si>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</si>
  <si>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</si>
  <si>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</si>
  <si>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</si>
  <si>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</si>
  <si>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</si>
  <si>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</si>
  <si>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</si>
  <si>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</si>
  <si>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</si>
  <si>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</si>
  <si>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</si>
  <si>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</si>
  <si>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</si>
  <si>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</si>
  <si>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</si>
  <si>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</si>
  <si>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</si>
  <si>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</si>
  <si>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</si>
  <si>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</si>
  <si>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</si>
  <si>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</si>
  <si>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</si>
  <si>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</si>
  <si>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</si>
  <si>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</si>
  <si>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</si>
  <si>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</si>
  <si>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</si>
  <si>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</si>
  <si>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</si>
  <si>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</si>
  <si>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</si>
  <si>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</si>
  <si>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</si>
  <si>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</si>
  <si>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</si>
  <si>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</si>
  <si>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</si>
  <si>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</si>
  <si>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</si>
  <si>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</si>
  <si>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</si>
  <si>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</si>
  <si>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</si>
  <si>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</si>
  <si>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</si>
  <si>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</si>
  <si>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</si>
  <si>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</si>
  <si>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</si>
  <si>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</si>
  <si>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</si>
  <si>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</si>
  <si>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</si>
  <si>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</si>
  <si>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</si>
  <si>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</si>
  <si>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</si>
  <si>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</si>
  <si>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</si>
  <si>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</si>
  <si>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</si>
  <si>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</si>
  <si>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</si>
  <si>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</si>
  <si>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</si>
  <si>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</si>
  <si>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</si>
  <si>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</si>
  <si>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</si>
  <si>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</si>
  <si>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</si>
  <si>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</si>
  <si>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</si>
  <si>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</si>
  <si>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</si>
  <si>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</si>
  <si>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</si>
  <si>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</si>
  <si>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</si>
  <si>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</si>
  <si>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</si>
  <si>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</si>
  <si>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</si>
  <si>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</si>
  <si>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</si>
  <si>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</si>
  <si>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</si>
  <si>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</si>
  <si>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</si>
  <si>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</si>
  <si>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</si>
  <si>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</si>
  <si>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</si>
  <si>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</si>
  <si>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</si>
  <si>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</si>
  <si>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</si>
  <si>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</si>
  <si>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</si>
  <si>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</si>
  <si>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</si>
  <si>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</si>
  <si>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</si>
  <si>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</si>
  <si>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</si>
  <si>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</si>
  <si>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</si>
  <si>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</si>
  <si>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</si>
  <si>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</si>
  <si>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</si>
  <si>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</si>
  <si>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</si>
  <si>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</si>
  <si>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</si>
  <si>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</si>
  <si>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</si>
  <si>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</si>
  <si>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</si>
  <si>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</si>
  <si>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</si>
  <si>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</si>
  <si>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</si>
  <si>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</si>
  <si>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</si>
  <si>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</si>
  <si>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</si>
  <si>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</si>
  <si>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</si>
  <si>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</si>
  <si>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</si>
  <si>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</si>
  <si>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</si>
  <si>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</si>
  <si>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</si>
  <si>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</si>
  <si>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</si>
  <si>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</si>
  <si>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</si>
  <si>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</si>
  <si>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</si>
  <si>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</si>
  <si>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</si>
  <si>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</si>
  <si>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</si>
  <si>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</si>
  <si>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</si>
  <si>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</si>
  <si>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</si>
  <si>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</si>
  <si>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</si>
  <si>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</si>
  <si>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</si>
  <si>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</si>
  <si>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</si>
  <si>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</si>
  <si>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</si>
  <si>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</si>
  <si>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</si>
  <si>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</si>
  <si>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</si>
  <si>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</si>
  <si>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</si>
  <si>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</si>
  <si>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</si>
  <si>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</si>
  <si>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</si>
  <si>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</si>
  <si>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</si>
  <si>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</si>
  <si>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</si>
  <si>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</si>
  <si>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</si>
  <si>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</si>
  <si>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</si>
  <si>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</si>
  <si>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</si>
  <si>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</si>
  <si>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</si>
  <si>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</si>
  <si>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</si>
  <si>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</si>
  <si>
    <t>Std  Closed Traps</t>
  </si>
  <si>
    <t>Std Open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</si>
</sst>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1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2" fontId="1" fillId="19" borderId="11" xfId="0" applyNumberFormat="1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8" zoomScale="85" zoomScaleNormal="85" workbookViewId="0">
      <selection activeCell="AD86" sqref="AD86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18" t="s">
        <v>122</v>
      </c>
      <c r="AH1" s="518" t="s">
        <v>57</v>
      </c>
      <c r="AI1" s="518" t="s">
        <v>52</v>
      </c>
      <c r="AJ1" s="518" t="s">
        <v>121</v>
      </c>
      <c r="AK1" s="529" t="s">
        <v>57</v>
      </c>
      <c r="AL1" s="529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526" t="s">
        <v>25</v>
      </c>
      <c r="AC2" s="532"/>
      <c r="AD2" s="525" t="s">
        <v>58</v>
      </c>
      <c r="AE2" s="525"/>
      <c r="AF2" s="97" t="s">
        <v>97</v>
      </c>
      <c r="AG2" s="533"/>
      <c r="AH2" s="518"/>
      <c r="AI2" s="518"/>
      <c r="AJ2" s="518"/>
      <c r="AK2" s="529"/>
      <c r="AL2" s="529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18" t="s">
        <v>122</v>
      </c>
      <c r="AH16" s="518" t="s">
        <v>57</v>
      </c>
      <c r="AI16" s="518" t="s">
        <v>52</v>
      </c>
      <c r="AJ16" s="518" t="s">
        <v>56</v>
      </c>
      <c r="AK16" s="529" t="s">
        <v>57</v>
      </c>
      <c r="AL16" s="529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526" t="s">
        <v>40</v>
      </c>
      <c r="AC17" s="527"/>
      <c r="AD17" s="525" t="s">
        <v>58</v>
      </c>
      <c r="AE17" s="525"/>
      <c r="AF17" s="97" t="s">
        <v>97</v>
      </c>
      <c r="AG17" s="533"/>
      <c r="AH17" s="518"/>
      <c r="AI17" s="518"/>
      <c r="AJ17" s="518"/>
      <c r="AK17" s="529"/>
      <c r="AL17" s="529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530" t="s">
        <v>25</v>
      </c>
      <c r="AB32" s="530"/>
      <c r="AC32" s="531" t="s">
        <v>40</v>
      </c>
      <c r="AD32" s="531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525" t="s">
        <v>132</v>
      </c>
      <c r="AC49" s="525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22" t="s">
        <v>1</v>
      </c>
      <c r="C55" s="523"/>
      <c r="D55" s="523"/>
      <c r="E55" s="523"/>
      <c r="F55" s="524"/>
      <c r="G55" s="522" t="s">
        <v>2</v>
      </c>
      <c r="H55" s="523"/>
      <c r="I55" s="523"/>
      <c r="J55" s="523"/>
      <c r="K55" s="524"/>
      <c r="L55" s="522" t="s">
        <v>3</v>
      </c>
      <c r="M55" s="523"/>
      <c r="N55" s="523"/>
      <c r="O55" s="523"/>
      <c r="P55" s="524"/>
      <c r="Q55" s="522" t="s">
        <v>4</v>
      </c>
      <c r="R55" s="523"/>
      <c r="S55" s="523"/>
      <c r="T55" s="523"/>
      <c r="U55" s="524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526" t="s">
        <v>135</v>
      </c>
      <c r="AC58" s="527"/>
      <c r="AI58" s="528" t="s">
        <v>136</v>
      </c>
      <c r="AJ58" s="528"/>
      <c r="AK58" s="528"/>
      <c r="AL58" s="528"/>
      <c r="AM58" s="528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525" t="s">
        <v>132</v>
      </c>
      <c r="AC69" s="525"/>
    </row>
    <row r="70" spans="2:40" x14ac:dyDescent="0.25">
      <c r="B70" s="494" t="s">
        <v>5</v>
      </c>
      <c r="C70" s="495"/>
      <c r="D70" s="495"/>
      <c r="E70" s="495"/>
      <c r="F70" s="496"/>
      <c r="G70" s="494" t="s">
        <v>6</v>
      </c>
      <c r="H70" s="495"/>
      <c r="I70" s="495"/>
      <c r="J70" s="495"/>
      <c r="K70" s="496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526" t="s">
        <v>135</v>
      </c>
      <c r="AC78" s="527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19" t="s">
        <v>7</v>
      </c>
      <c r="C85" s="520"/>
      <c r="D85" s="520"/>
      <c r="E85" s="520"/>
      <c r="F85" s="521"/>
      <c r="G85" s="519" t="s">
        <v>8</v>
      </c>
      <c r="H85" s="520"/>
      <c r="I85" s="520"/>
      <c r="J85" s="520"/>
      <c r="K85" s="521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06" t="s">
        <v>9</v>
      </c>
      <c r="C100" s="507"/>
      <c r="D100" s="507"/>
      <c r="E100" s="507"/>
      <c r="F100" s="508"/>
      <c r="G100" s="506" t="s">
        <v>10</v>
      </c>
      <c r="H100" s="507"/>
      <c r="I100" s="507"/>
      <c r="J100" s="507"/>
      <c r="K100" s="508"/>
      <c r="L100" s="509" t="s">
        <v>11</v>
      </c>
      <c r="M100" s="510"/>
      <c r="N100" s="510"/>
      <c r="O100" s="510"/>
      <c r="P100" s="511"/>
      <c r="Q100" s="506" t="s">
        <v>12</v>
      </c>
      <c r="R100" s="507"/>
      <c r="S100" s="507"/>
      <c r="T100" s="507"/>
      <c r="U100" s="508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2" t="s">
        <v>13</v>
      </c>
      <c r="C115" s="513"/>
      <c r="D115" s="513"/>
      <c r="E115" s="513"/>
      <c r="F115" s="514"/>
      <c r="G115" s="512" t="s">
        <v>14</v>
      </c>
      <c r="H115" s="513"/>
      <c r="I115" s="513"/>
      <c r="J115" s="513"/>
      <c r="K115" s="514"/>
      <c r="L115" s="515" t="s">
        <v>15</v>
      </c>
      <c r="M115" s="516"/>
      <c r="N115" s="516"/>
      <c r="O115" s="516"/>
      <c r="P115" s="517"/>
      <c r="Q115" s="512" t="s">
        <v>16</v>
      </c>
      <c r="R115" s="513"/>
      <c r="S115" s="513"/>
      <c r="T115" s="513"/>
      <c r="U115" s="514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94" t="s">
        <v>17</v>
      </c>
      <c r="C130" s="495"/>
      <c r="D130" s="495"/>
      <c r="E130" s="495"/>
      <c r="F130" s="496"/>
      <c r="G130" s="494" t="s">
        <v>18</v>
      </c>
      <c r="H130" s="495"/>
      <c r="I130" s="495"/>
      <c r="J130" s="495"/>
      <c r="K130" s="496"/>
      <c r="L130" s="497" t="s">
        <v>19</v>
      </c>
      <c r="M130" s="498"/>
      <c r="N130" s="498"/>
      <c r="O130" s="498"/>
      <c r="P130" s="499"/>
      <c r="Q130" s="494" t="s">
        <v>20</v>
      </c>
      <c r="R130" s="495"/>
      <c r="S130" s="495"/>
      <c r="T130" s="495"/>
      <c r="U130" s="496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00" t="s">
        <v>21</v>
      </c>
      <c r="C145" s="501"/>
      <c r="D145" s="501"/>
      <c r="E145" s="501"/>
      <c r="F145" s="502"/>
      <c r="G145" s="500" t="s">
        <v>22</v>
      </c>
      <c r="H145" s="501"/>
      <c r="I145" s="501"/>
      <c r="J145" s="501"/>
      <c r="K145" s="502"/>
      <c r="L145" s="503" t="s">
        <v>23</v>
      </c>
      <c r="M145" s="504"/>
      <c r="N145" s="504"/>
      <c r="O145" s="504"/>
      <c r="P145" s="50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B145:F145"/>
    <mergeCell ref="G145:K145"/>
    <mergeCell ref="L145:P1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18" t="s">
        <v>122</v>
      </c>
      <c r="AH1" s="518" t="s">
        <v>57</v>
      </c>
      <c r="AI1" s="518" t="s">
        <v>52</v>
      </c>
      <c r="AJ1" s="518" t="s">
        <v>122</v>
      </c>
      <c r="AK1" s="518" t="s">
        <v>57</v>
      </c>
      <c r="AL1" s="518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526" t="s">
        <v>25</v>
      </c>
      <c r="AC2" s="532"/>
      <c r="AD2" s="525" t="s">
        <v>58</v>
      </c>
      <c r="AE2" s="525"/>
      <c r="AF2" s="97" t="s">
        <v>97</v>
      </c>
      <c r="AG2" s="518"/>
      <c r="AH2" s="518"/>
      <c r="AI2" s="518"/>
      <c r="AJ2" s="518"/>
      <c r="AK2" s="518"/>
      <c r="AL2" s="518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18" t="s">
        <v>122</v>
      </c>
      <c r="AH15" s="518" t="s">
        <v>57</v>
      </c>
      <c r="AI15" s="518" t="s">
        <v>52</v>
      </c>
      <c r="AJ15" s="518" t="s">
        <v>122</v>
      </c>
      <c r="AK15" s="518" t="s">
        <v>57</v>
      </c>
      <c r="AL15" s="518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526" t="s">
        <v>40</v>
      </c>
      <c r="AC16" s="527"/>
      <c r="AD16" s="525" t="s">
        <v>58</v>
      </c>
      <c r="AE16" s="525"/>
      <c r="AF16" s="97" t="s">
        <v>97</v>
      </c>
      <c r="AG16" s="518"/>
      <c r="AH16" s="518"/>
      <c r="AI16" s="518"/>
      <c r="AJ16" s="518"/>
      <c r="AK16" s="518"/>
      <c r="AL16" s="518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530" t="s">
        <v>25</v>
      </c>
      <c r="AB31" s="530"/>
      <c r="AC31" s="531" t="s">
        <v>40</v>
      </c>
      <c r="AD31" s="531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525" t="s">
        <v>137</v>
      </c>
      <c r="AC49" s="525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4" t="s">
        <v>1</v>
      </c>
      <c r="C55" s="535"/>
      <c r="D55" s="535"/>
      <c r="E55" s="535"/>
      <c r="F55" s="536"/>
      <c r="G55" s="534" t="s">
        <v>2</v>
      </c>
      <c r="H55" s="535"/>
      <c r="I55" s="535"/>
      <c r="J55" s="535"/>
      <c r="K55" s="536"/>
      <c r="L55" s="534" t="s">
        <v>3</v>
      </c>
      <c r="M55" s="535"/>
      <c r="N55" s="535"/>
      <c r="O55" s="535"/>
      <c r="P55" s="536"/>
      <c r="Q55" s="534" t="s">
        <v>4</v>
      </c>
      <c r="R55" s="535"/>
      <c r="S55" s="535"/>
      <c r="T55" s="535"/>
      <c r="U55" s="536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526" t="s">
        <v>138</v>
      </c>
      <c r="AC58" s="527"/>
      <c r="AI58" s="528" t="s">
        <v>136</v>
      </c>
      <c r="AJ58" s="528"/>
      <c r="AK58" s="528"/>
      <c r="AL58" s="528"/>
      <c r="AM58" s="528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497" t="s">
        <v>5</v>
      </c>
      <c r="C70" s="498"/>
      <c r="D70" s="498"/>
      <c r="E70" s="498"/>
      <c r="F70" s="499"/>
      <c r="G70" s="497" t="s">
        <v>6</v>
      </c>
      <c r="H70" s="498"/>
      <c r="I70" s="498"/>
      <c r="J70" s="498"/>
      <c r="K70" s="499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37" t="s">
        <v>7</v>
      </c>
      <c r="C85" s="538"/>
      <c r="D85" s="538"/>
      <c r="E85" s="538"/>
      <c r="F85" s="539"/>
      <c r="G85" s="537" t="s">
        <v>8</v>
      </c>
      <c r="H85" s="538"/>
      <c r="I85" s="538"/>
      <c r="J85" s="538"/>
      <c r="K85" s="539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09" t="s">
        <v>9</v>
      </c>
      <c r="C100" s="510"/>
      <c r="D100" s="510"/>
      <c r="E100" s="510"/>
      <c r="F100" s="511"/>
      <c r="G100" s="509" t="s">
        <v>10</v>
      </c>
      <c r="H100" s="510"/>
      <c r="I100" s="510"/>
      <c r="J100" s="510"/>
      <c r="K100" s="511"/>
      <c r="L100" s="509" t="s">
        <v>11</v>
      </c>
      <c r="M100" s="510"/>
      <c r="N100" s="510"/>
      <c r="O100" s="510"/>
      <c r="P100" s="511"/>
      <c r="Q100" s="509" t="s">
        <v>12</v>
      </c>
      <c r="R100" s="510"/>
      <c r="S100" s="510"/>
      <c r="T100" s="510"/>
      <c r="U100" s="511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2" t="s">
        <v>13</v>
      </c>
      <c r="C115" s="513"/>
      <c r="D115" s="513"/>
      <c r="E115" s="513"/>
      <c r="F115" s="514"/>
      <c r="G115" s="515" t="s">
        <v>14</v>
      </c>
      <c r="H115" s="516"/>
      <c r="I115" s="516"/>
      <c r="J115" s="516"/>
      <c r="K115" s="517"/>
      <c r="L115" s="515" t="s">
        <v>15</v>
      </c>
      <c r="M115" s="516"/>
      <c r="N115" s="516"/>
      <c r="O115" s="516"/>
      <c r="P115" s="517"/>
      <c r="Q115" s="515" t="s">
        <v>16</v>
      </c>
      <c r="R115" s="516"/>
      <c r="S115" s="516"/>
      <c r="T115" s="516"/>
      <c r="U115" s="517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497" t="s">
        <v>17</v>
      </c>
      <c r="C130" s="498"/>
      <c r="D130" s="498"/>
      <c r="E130" s="498"/>
      <c r="F130" s="499"/>
      <c r="G130" s="497" t="s">
        <v>18</v>
      </c>
      <c r="H130" s="498"/>
      <c r="I130" s="498"/>
      <c r="J130" s="498"/>
      <c r="K130" s="499"/>
      <c r="L130" s="497" t="s">
        <v>19</v>
      </c>
      <c r="M130" s="498"/>
      <c r="N130" s="498"/>
      <c r="O130" s="498"/>
      <c r="P130" s="499"/>
      <c r="Q130" s="497" t="s">
        <v>20</v>
      </c>
      <c r="R130" s="498"/>
      <c r="S130" s="498"/>
      <c r="T130" s="498"/>
      <c r="U130" s="499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03" t="s">
        <v>21</v>
      </c>
      <c r="C145" s="504"/>
      <c r="D145" s="504"/>
      <c r="E145" s="504"/>
      <c r="F145" s="505"/>
      <c r="G145" s="503" t="s">
        <v>22</v>
      </c>
      <c r="H145" s="504"/>
      <c r="I145" s="504"/>
      <c r="J145" s="504"/>
      <c r="K145" s="505"/>
      <c r="L145" s="503" t="s">
        <v>23</v>
      </c>
      <c r="M145" s="504"/>
      <c r="N145" s="504"/>
      <c r="O145" s="504"/>
      <c r="P145" s="50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L1:AL2"/>
    <mergeCell ref="AB2:AC2"/>
    <mergeCell ref="AD2:AE2"/>
    <mergeCell ref="AG1:AG2"/>
    <mergeCell ref="AH1:AH2"/>
    <mergeCell ref="AI1:AI2"/>
    <mergeCell ref="AJ1:AJ2"/>
    <mergeCell ref="AK1:AK2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G85:K85"/>
    <mergeCell ref="B85:F85"/>
    <mergeCell ref="B100:F100"/>
    <mergeCell ref="G100:K100"/>
    <mergeCell ref="L100:P100"/>
    <mergeCell ref="G55:K55"/>
    <mergeCell ref="L55:P55"/>
    <mergeCell ref="Q55:U55"/>
    <mergeCell ref="B70:F70"/>
    <mergeCell ref="G70:K70"/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93"/>
  <sheetViews>
    <sheetView tabSelected="1" zoomScale="85" zoomScaleNormal="85" workbookViewId="0">
      <selection activeCell="M39" sqref="M39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6.57031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89" t="s">
        <v>147</v>
      </c>
      <c r="E1" s="490"/>
      <c r="F1" s="490"/>
      <c r="G1" s="490"/>
      <c r="H1" s="491"/>
      <c r="I1" s="478"/>
      <c r="J1" s="489" t="s">
        <v>148</v>
      </c>
      <c r="K1" s="490"/>
      <c r="L1" s="490"/>
      <c r="M1" s="490"/>
      <c r="N1" s="491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433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433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7">
        <f>AVERAGE(D3,D6)</f>
        <v>38.28425</v>
      </c>
      <c r="F3" s="487">
        <f>AVERAGE(D5,D4)</f>
        <v>21.016750000000002</v>
      </c>
      <c r="G3" s="487">
        <f>_xlfn.STDEV.P(D3,D6)</f>
        <v>8.730049999999995</v>
      </c>
      <c r="H3" s="487">
        <f>_xlfn.STDEV.P(D5,D4)</f>
        <v>6.5115499999999962</v>
      </c>
      <c r="I3" s="484">
        <f>_xlfn.STDEV.P(D3:D6)</f>
        <v>11.569298477651957</v>
      </c>
      <c r="J3" s="407">
        <v>11.398899999999999</v>
      </c>
      <c r="K3" s="487">
        <f>AVERAGE(J3,J6)</f>
        <v>9.9549500000000002</v>
      </c>
      <c r="L3" s="487">
        <f>AVERAGE(J5,J4)</f>
        <v>14.5915</v>
      </c>
      <c r="M3" s="487">
        <f>_xlfn.STDEV.P(J3,J6)</f>
        <v>1.443949999999999</v>
      </c>
      <c r="N3" s="487">
        <f>_xlfn.STDEV.P(J5,J4)</f>
        <v>1.9801000000000009</v>
      </c>
      <c r="O3" s="484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8"/>
      <c r="F4" s="488"/>
      <c r="G4" s="488"/>
      <c r="H4" s="488"/>
      <c r="I4" s="485"/>
      <c r="J4" s="407">
        <v>12.6114</v>
      </c>
      <c r="K4" s="488"/>
      <c r="L4" s="488"/>
      <c r="M4" s="488"/>
      <c r="N4" s="488"/>
      <c r="O4" s="485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8"/>
      <c r="F5" s="488"/>
      <c r="G5" s="488"/>
      <c r="H5" s="488"/>
      <c r="I5" s="485"/>
      <c r="J5" s="407">
        <v>16.5716</v>
      </c>
      <c r="K5" s="488"/>
      <c r="L5" s="488"/>
      <c r="M5" s="488"/>
      <c r="N5" s="488"/>
      <c r="O5" s="485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8"/>
      <c r="F6" s="488"/>
      <c r="G6" s="488"/>
      <c r="H6" s="488"/>
      <c r="I6" s="486"/>
      <c r="J6" s="407">
        <v>8.5109999999999992</v>
      </c>
      <c r="K6" s="488"/>
      <c r="L6" s="488"/>
      <c r="M6" s="488"/>
      <c r="N6" s="488"/>
      <c r="O6" s="486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7">
        <f>AVERAGE(D7,D10)</f>
        <v>47.488500000000002</v>
      </c>
      <c r="F7" s="487">
        <f>AVERAGE(D9,D8)</f>
        <v>71.694199999999995</v>
      </c>
      <c r="G7" s="487">
        <f>_xlfn.STDEV.P(D7,D10)</f>
        <v>0</v>
      </c>
      <c r="H7" s="487">
        <f>_xlfn.STDEV.P(D9,D8)</f>
        <v>0</v>
      </c>
      <c r="I7" s="484">
        <f>_xlfn.STDEV.P(D7:D10)</f>
        <v>12.102849999999979</v>
      </c>
      <c r="J7" s="334" t="s">
        <v>180</v>
      </c>
      <c r="K7" s="487" t="s">
        <v>180</v>
      </c>
      <c r="L7" s="487">
        <f>AVERAGE(J9,J8)</f>
        <v>15.135</v>
      </c>
      <c r="M7" s="487" t="s">
        <v>180</v>
      </c>
      <c r="N7" s="487">
        <f>_xlfn.STDEV.P(J9,J8)</f>
        <v>0</v>
      </c>
      <c r="O7" s="484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8"/>
      <c r="F8" s="488"/>
      <c r="G8" s="488"/>
      <c r="H8" s="488"/>
      <c r="I8" s="485"/>
      <c r="J8" s="334">
        <v>15.135</v>
      </c>
      <c r="K8" s="488"/>
      <c r="L8" s="488"/>
      <c r="M8" s="488"/>
      <c r="N8" s="488"/>
      <c r="O8" s="485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8"/>
      <c r="F9" s="488"/>
      <c r="G9" s="488"/>
      <c r="H9" s="488"/>
      <c r="I9" s="485"/>
      <c r="J9" s="334" t="s">
        <v>180</v>
      </c>
      <c r="K9" s="488"/>
      <c r="L9" s="488"/>
      <c r="M9" s="488"/>
      <c r="N9" s="488"/>
      <c r="O9" s="485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8"/>
      <c r="F10" s="488"/>
      <c r="G10" s="488"/>
      <c r="H10" s="488"/>
      <c r="I10" s="486"/>
      <c r="J10" s="334" t="s">
        <v>180</v>
      </c>
      <c r="K10" s="488"/>
      <c r="L10" s="488"/>
      <c r="M10" s="488"/>
      <c r="N10" s="488"/>
      <c r="O10" s="486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7">
        <f>AVERAGE(D11,D14)</f>
        <v>38.784700000000001</v>
      </c>
      <c r="F11" s="487">
        <f>AVERAGE(D13,D12)</f>
        <v>47.312199999999997</v>
      </c>
      <c r="G11" s="487">
        <f>_xlfn.STDEV.P(D11,D14)</f>
        <v>0</v>
      </c>
      <c r="H11" s="487">
        <f>_xlfn.STDEV.P(D13,D12)</f>
        <v>0</v>
      </c>
      <c r="I11" s="484">
        <f>_xlfn.STDEV.P(D11:D14)</f>
        <v>4.2637499999999982</v>
      </c>
      <c r="J11" s="280" t="s">
        <v>180</v>
      </c>
      <c r="K11" s="487">
        <f>AVERAGE(J11,J14)</f>
        <v>4.6359000000000004</v>
      </c>
      <c r="L11" s="487" t="s">
        <v>180</v>
      </c>
      <c r="M11" s="487">
        <f>_xlfn.STDEV.P(J11,J14)</f>
        <v>0</v>
      </c>
      <c r="N11" s="487" t="s">
        <v>180</v>
      </c>
      <c r="O11" s="484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8"/>
      <c r="F12" s="488"/>
      <c r="G12" s="488"/>
      <c r="H12" s="488"/>
      <c r="I12" s="485"/>
      <c r="J12" s="280" t="s">
        <v>180</v>
      </c>
      <c r="K12" s="488"/>
      <c r="L12" s="488"/>
      <c r="M12" s="488"/>
      <c r="N12" s="488"/>
      <c r="O12" s="485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8"/>
      <c r="F13" s="488"/>
      <c r="G13" s="488"/>
      <c r="H13" s="488"/>
      <c r="I13" s="485"/>
      <c r="J13" s="280" t="s">
        <v>180</v>
      </c>
      <c r="K13" s="488"/>
      <c r="L13" s="488"/>
      <c r="M13" s="488"/>
      <c r="N13" s="488"/>
      <c r="O13" s="485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8"/>
      <c r="F14" s="488"/>
      <c r="G14" s="488"/>
      <c r="H14" s="488"/>
      <c r="I14" s="486"/>
      <c r="J14" s="280">
        <v>4.6359000000000004</v>
      </c>
      <c r="K14" s="488"/>
      <c r="L14" s="488"/>
      <c r="M14" s="488"/>
      <c r="N14" s="488"/>
      <c r="O14" s="486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7">
        <f>AVERAGE(D15,D18)</f>
        <v>41.158450000000002</v>
      </c>
      <c r="F15" s="487">
        <f>AVERAGE(D17,D16)</f>
        <v>27.981349999999999</v>
      </c>
      <c r="G15" s="487">
        <f>_xlfn.STDEV.P(D15,D18)</f>
        <v>13.588150000000001</v>
      </c>
      <c r="H15" s="487">
        <f>_xlfn.STDEV.P(D17,D16)</f>
        <v>3.8292500000000049</v>
      </c>
      <c r="I15" s="484">
        <f>_xlfn.STDEV.P(D15:D18)</f>
        <v>11.960747430449334</v>
      </c>
      <c r="J15" s="291">
        <v>20.031400000000001</v>
      </c>
      <c r="K15" s="487">
        <f>AVERAGE(J15,J18)</f>
        <v>18.506</v>
      </c>
      <c r="L15" s="487">
        <f>AVERAGE(J17,J16)</f>
        <v>13.193300000000001</v>
      </c>
      <c r="M15" s="487">
        <f>_xlfn.STDEV.P(J15,J18)</f>
        <v>1.5254000000000012</v>
      </c>
      <c r="N15" s="487">
        <f>_xlfn.STDEV.P(J17,J16)</f>
        <v>1.7051999999999892</v>
      </c>
      <c r="O15" s="484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8"/>
      <c r="F16" s="488"/>
      <c r="G16" s="488"/>
      <c r="H16" s="488"/>
      <c r="I16" s="485"/>
      <c r="J16" s="291">
        <v>14.8985</v>
      </c>
      <c r="K16" s="488"/>
      <c r="L16" s="488"/>
      <c r="M16" s="488"/>
      <c r="N16" s="488"/>
      <c r="O16" s="485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8"/>
      <c r="F17" s="488"/>
      <c r="G17" s="488"/>
      <c r="H17" s="488"/>
      <c r="I17" s="485"/>
      <c r="J17" s="291">
        <v>11.488099999999999</v>
      </c>
      <c r="K17" s="488"/>
      <c r="L17" s="488"/>
      <c r="M17" s="488"/>
      <c r="N17" s="488"/>
      <c r="O17" s="485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8"/>
      <c r="F18" s="488"/>
      <c r="G18" s="488"/>
      <c r="H18" s="488"/>
      <c r="I18" s="486"/>
      <c r="J18" s="291">
        <v>16.980599999999999</v>
      </c>
      <c r="K18" s="488"/>
      <c r="L18" s="488"/>
      <c r="M18" s="488"/>
      <c r="N18" s="488"/>
      <c r="O18" s="486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7">
        <f>AVERAGE(D19,D22)</f>
        <v>47.626199999999997</v>
      </c>
      <c r="F19" s="487">
        <f>AVERAGE(D21,D20)</f>
        <v>46.010599999999997</v>
      </c>
      <c r="G19" s="487">
        <f>_xlfn.STDEV.P(D19,D22)</f>
        <v>15.758700000000026</v>
      </c>
      <c r="H19" s="487">
        <f>_xlfn.STDEV.P(D21,D20)</f>
        <v>16.829900000000002</v>
      </c>
      <c r="I19" s="484">
        <f>_xlfn.STDEV.P(D19:D22)</f>
        <v>16.323100829499264</v>
      </c>
      <c r="J19" s="307" t="s">
        <v>180</v>
      </c>
      <c r="K19" s="487">
        <f>AVERAGE(J19,J22)</f>
        <v>15.056900000000001</v>
      </c>
      <c r="L19" s="487">
        <f>AVERAGE(J21,J20)</f>
        <v>13.238499999999998</v>
      </c>
      <c r="M19" s="487">
        <f>_xlfn.STDEV.P(J19,J22)</f>
        <v>0</v>
      </c>
      <c r="N19" s="487">
        <f>_xlfn.STDEV.P(J21,J20)</f>
        <v>4.4113000000000033</v>
      </c>
      <c r="O19" s="484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8"/>
      <c r="F20" s="488"/>
      <c r="G20" s="488"/>
      <c r="H20" s="488"/>
      <c r="I20" s="485"/>
      <c r="J20" s="307">
        <v>17.649799999999999</v>
      </c>
      <c r="K20" s="488"/>
      <c r="L20" s="488"/>
      <c r="M20" s="488"/>
      <c r="N20" s="488"/>
      <c r="O20" s="485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8"/>
      <c r="F21" s="488"/>
      <c r="G21" s="488"/>
      <c r="H21" s="488"/>
      <c r="I21" s="485"/>
      <c r="J21" s="307">
        <v>8.8271999999999995</v>
      </c>
      <c r="K21" s="488"/>
      <c r="L21" s="488"/>
      <c r="M21" s="488"/>
      <c r="N21" s="488"/>
      <c r="O21" s="485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8"/>
      <c r="F22" s="488"/>
      <c r="G22" s="488"/>
      <c r="H22" s="488"/>
      <c r="I22" s="486"/>
      <c r="J22" s="307">
        <v>15.056900000000001</v>
      </c>
      <c r="K22" s="488"/>
      <c r="L22" s="488"/>
      <c r="M22" s="488"/>
      <c r="N22" s="488"/>
      <c r="O22" s="486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7">
        <f>AVERAGE(D23,D26)</f>
        <v>19.438200000000002</v>
      </c>
      <c r="F23" s="487">
        <f>AVERAGE(D25,D24)</f>
        <v>20.037800000000001</v>
      </c>
      <c r="G23" s="487">
        <f>_xlfn.STDEV.P(D23,D26)</f>
        <v>2.3819999999999881</v>
      </c>
      <c r="H23" s="487">
        <f>_xlfn.STDEV.P(D25,D24)</f>
        <v>5.158400000000003</v>
      </c>
      <c r="I23" s="484">
        <f>_xlfn.STDEV.P(D23:D26)</f>
        <v>4.0288195938760891</v>
      </c>
      <c r="J23" s="265">
        <v>12.7844</v>
      </c>
      <c r="K23" s="487">
        <f>AVERAGE(J23,J26)</f>
        <v>12.613849999999999</v>
      </c>
      <c r="L23" s="487">
        <f>AVERAGE(J25,J24)</f>
        <v>11.39235</v>
      </c>
      <c r="M23" s="487">
        <f>_xlfn.STDEV.P(J23,J26)</f>
        <v>0.17054999999999954</v>
      </c>
      <c r="N23" s="487">
        <f>_xlfn.STDEV.P(J25,J24)</f>
        <v>1.7203499999999989</v>
      </c>
      <c r="O23" s="484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8"/>
      <c r="F24" s="488"/>
      <c r="G24" s="488"/>
      <c r="H24" s="488"/>
      <c r="I24" s="485"/>
      <c r="J24" s="265">
        <v>13.1127</v>
      </c>
      <c r="K24" s="488"/>
      <c r="L24" s="488"/>
      <c r="M24" s="488"/>
      <c r="N24" s="488"/>
      <c r="O24" s="485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8"/>
      <c r="F25" s="488"/>
      <c r="G25" s="488"/>
      <c r="H25" s="488"/>
      <c r="I25" s="485"/>
      <c r="J25" s="265">
        <v>9.6720000000000006</v>
      </c>
      <c r="K25" s="488"/>
      <c r="L25" s="488"/>
      <c r="M25" s="488"/>
      <c r="N25" s="488"/>
      <c r="O25" s="485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8"/>
      <c r="F26" s="488"/>
      <c r="G26" s="488"/>
      <c r="H26" s="488"/>
      <c r="I26" s="486"/>
      <c r="J26" s="265">
        <v>12.443300000000001</v>
      </c>
      <c r="K26" s="488"/>
      <c r="L26" s="488"/>
      <c r="M26" s="488"/>
      <c r="N26" s="488"/>
      <c r="O26" s="486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7">
        <f>AVERAGE(D27,D30)</f>
        <v>29.520299999999999</v>
      </c>
      <c r="F27" s="487">
        <f>AVERAGE(D29,D28)</f>
        <v>31.258299999999998</v>
      </c>
      <c r="G27" s="487">
        <f>_xlfn.STDEV.P(D27,D30)</f>
        <v>5.5229000000000106</v>
      </c>
      <c r="H27" s="487">
        <f>_xlfn.STDEV.P(D29,D28)</f>
        <v>0</v>
      </c>
      <c r="I27" s="484">
        <f>_xlfn.STDEV.P(D27:D30)</f>
        <v>4.5832525381969544</v>
      </c>
      <c r="J27" s="334">
        <v>12.441000000000001</v>
      </c>
      <c r="K27" s="487">
        <f>AVERAGE(J27,J30)</f>
        <v>13.032</v>
      </c>
      <c r="L27" s="487">
        <f>AVERAGE(J29,J28)</f>
        <v>13.8108</v>
      </c>
      <c r="M27" s="487">
        <f>_xlfn.STDEV.P(J27,J30)</f>
        <v>0.5909999999999993</v>
      </c>
      <c r="N27" s="487">
        <f>_xlfn.STDEV.P(J29,J28)</f>
        <v>0</v>
      </c>
      <c r="O27" s="484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8"/>
      <c r="F28" s="488"/>
      <c r="G28" s="488"/>
      <c r="H28" s="488"/>
      <c r="I28" s="485"/>
      <c r="J28" s="481" t="s">
        <v>180</v>
      </c>
      <c r="K28" s="488"/>
      <c r="L28" s="488"/>
      <c r="M28" s="488"/>
      <c r="N28" s="488"/>
      <c r="O28" s="485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8"/>
      <c r="F29" s="488"/>
      <c r="G29" s="488"/>
      <c r="H29" s="488"/>
      <c r="I29" s="485"/>
      <c r="J29" s="334">
        <v>13.8108</v>
      </c>
      <c r="K29" s="488"/>
      <c r="L29" s="488"/>
      <c r="M29" s="488"/>
      <c r="N29" s="488"/>
      <c r="O29" s="485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8"/>
      <c r="F30" s="488"/>
      <c r="G30" s="488"/>
      <c r="H30" s="488"/>
      <c r="I30" s="486"/>
      <c r="J30" s="334">
        <v>13.622999999999999</v>
      </c>
      <c r="K30" s="488"/>
      <c r="L30" s="488"/>
      <c r="M30" s="488"/>
      <c r="N30" s="488"/>
      <c r="O30" s="486"/>
    </row>
    <row r="32" spans="1:15" x14ac:dyDescent="0.25">
      <c r="G32" s="57"/>
      <c r="H32" s="483" t="s">
        <v>113</v>
      </c>
      <c r="I32" s="483"/>
      <c r="J32" s="483" t="s">
        <v>114</v>
      </c>
      <c r="K32" s="483"/>
    </row>
    <row r="33" spans="2:19" x14ac:dyDescent="0.25">
      <c r="D33" s="492" t="s">
        <v>66</v>
      </c>
      <c r="E33" s="493"/>
      <c r="G33" s="57" t="s">
        <v>191</v>
      </c>
      <c r="H33" s="57" t="s">
        <v>190</v>
      </c>
      <c r="I33" s="57" t="s">
        <v>189</v>
      </c>
      <c r="J33" s="57" t="s">
        <v>190</v>
      </c>
      <c r="K33" s="57" t="s">
        <v>189</v>
      </c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7" t="s">
        <v>106</v>
      </c>
      <c r="H34" s="409">
        <f>_xlfn.STDEV.P(D35,D38)/AVERAGE(D35,D38)*100</f>
        <v>22.803241541887317</v>
      </c>
      <c r="I34" s="409">
        <f>_xlfn.STDEV.P(D36:D37)/AVERAGE(D36:D37)*100</f>
        <v>30.982668585770849</v>
      </c>
      <c r="J34" s="409">
        <f>_xlfn.STDEV.P(E35,E38)/AVERAGE(E35,E38)*100</f>
        <v>14.50484432367816</v>
      </c>
      <c r="K34" s="409">
        <f>_xlfn.STDEV.P(E36:E37)/AVERAGE(E36:E37)*100</f>
        <v>13.570229243052466</v>
      </c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57" t="s">
        <v>107</v>
      </c>
      <c r="H35" s="409" t="s">
        <v>180</v>
      </c>
      <c r="I35" s="409" t="s">
        <v>180</v>
      </c>
      <c r="J35" s="409" t="s">
        <v>180</v>
      </c>
      <c r="K35" s="409" t="s">
        <v>180</v>
      </c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57" t="s">
        <v>108</v>
      </c>
      <c r="H36" s="409" t="s">
        <v>180</v>
      </c>
      <c r="I36" s="409" t="s">
        <v>180</v>
      </c>
      <c r="J36" s="409" t="s">
        <v>180</v>
      </c>
      <c r="K36" s="409" t="s">
        <v>180</v>
      </c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57" t="s">
        <v>109</v>
      </c>
      <c r="H37" s="409">
        <f>_xlfn.STDEV.P(D47,D50)/AVERAGE(D47,D50)*100</f>
        <v>33.014241304033561</v>
      </c>
      <c r="I37" s="409">
        <f>_xlfn.STDEV.P(D48:D49)/AVERAGE(D48:D49)*100</f>
        <v>13.685008050004754</v>
      </c>
      <c r="J37" s="409">
        <f>_xlfn.STDEV.P(E47,E50)/AVERAGE(E47,E50)*100</f>
        <v>8.2427320868907437</v>
      </c>
      <c r="K37" s="409">
        <f>_xlfn.STDEV.P(E48:E49)/AVERAGE(E48:E49)*100</f>
        <v>12.924742103946619</v>
      </c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57" t="s">
        <v>110</v>
      </c>
      <c r="H38" s="409">
        <f>_xlfn.STDEV.P(D51,D54)/AVERAGE(D51,D54)*100</f>
        <v>33.088300137319429</v>
      </c>
      <c r="I38" s="409">
        <f>_xlfn.STDEV.P(D52:D53)/AVERAGE(D52:D53)*100</f>
        <v>36.578310215472094</v>
      </c>
      <c r="J38" s="409" t="s">
        <v>180</v>
      </c>
      <c r="K38" s="409">
        <f>_xlfn.STDEV.P(E52:E53)/AVERAGE(E52:E53)*100</f>
        <v>33.321750953657919</v>
      </c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57" t="s">
        <v>111</v>
      </c>
      <c r="H39" s="409">
        <f>_xlfn.STDEV.P(D55,D58)/AVERAGE(D55,D58)*100</f>
        <v>12.254221069852084</v>
      </c>
      <c r="I39" s="409">
        <f>_xlfn.STDEV.P(D56:D57)/AVERAGE(D56:D57)*100</f>
        <v>25.743345077802964</v>
      </c>
      <c r="J39" s="409">
        <f>_xlfn.STDEV.P(E55,E58)/AVERAGE(E55,E58)*100</f>
        <v>1.3520852079262045</v>
      </c>
      <c r="K39" s="409">
        <f>_xlfn.STDEV.P(E56:E57)/AVERAGE(E56:E57)*100</f>
        <v>15.100922987794432</v>
      </c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57" t="s">
        <v>112</v>
      </c>
      <c r="H40" s="409">
        <f>_xlfn.STDEV.P(D59,D62)/AVERAGE(D59,D62)*100</f>
        <v>18.708820709816671</v>
      </c>
      <c r="I40" s="409" t="s">
        <v>180</v>
      </c>
      <c r="J40" s="409">
        <f>_xlfn.STDEV.P(E59,E62)/AVERAGE(E59,E62)*100</f>
        <v>4.5349907918968642</v>
      </c>
      <c r="K40" s="409" t="s">
        <v>180</v>
      </c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482" t="s">
        <v>136</v>
      </c>
      <c r="H41" s="482">
        <f>AVERAGE(H34,H37:H40)</f>
        <v>23.97376495258181</v>
      </c>
      <c r="I41" s="482">
        <f>AVERAGE(I34,I37:I39)</f>
        <v>26.747332982262662</v>
      </c>
      <c r="J41" s="482">
        <f>AVERAGE(J34,J39:J40,J37)</f>
        <v>7.158663102597993</v>
      </c>
      <c r="K41" s="482">
        <f>AVERAGE(K34,K37:K39)</f>
        <v>18.72941132211286</v>
      </c>
      <c r="M41" s="404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H42" s="437"/>
      <c r="I42" s="433"/>
      <c r="J42" s="437"/>
      <c r="K42" s="437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G43" s="215"/>
      <c r="H43" s="215" t="s">
        <v>147</v>
      </c>
      <c r="I43" s="215" t="s">
        <v>148</v>
      </c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57" t="s">
        <v>192</v>
      </c>
      <c r="H44" s="215" t="s">
        <v>193</v>
      </c>
      <c r="I44" s="215" t="s">
        <v>193</v>
      </c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7" t="s">
        <v>194</v>
      </c>
      <c r="H45" s="409">
        <f>_xlfn.STDEV.P(D35,D39,D47,D51,D55,D59)/AVERAGE(D35,D39,D47,D51,D55,D59)*100</f>
        <v>35.454594675588204</v>
      </c>
      <c r="I45" s="409">
        <f>_xlfn.STDEV.P(E35,E47,E55,E59)/AVERAGE(E35,E47,E51,E59)*100</f>
        <v>23.426190003853165</v>
      </c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57" t="s">
        <v>195</v>
      </c>
      <c r="H46" s="409">
        <f>_xlfn.STDEV.P(D36,D40,D48,D52,D56)/AVERAGE(D36,D40,D48,D52,D56)*100</f>
        <v>44.435979113366322</v>
      </c>
      <c r="I46" s="409">
        <f>_xlfn.STDEV.P(E36,E40,E48,E52,E56)/AVERAGE(E36,E40,E48,E52,E56)*100</f>
        <v>12.111868423405129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57" t="s">
        <v>196</v>
      </c>
      <c r="H47" s="409">
        <f>_xlfn.STDEV.P(D37,D45,D49,D53,D57,D61)/AVERAGE(D37,D45,D49,D53,D57,D61)*100</f>
        <v>41.495135647705325</v>
      </c>
      <c r="I47" s="409">
        <f>_xlfn.STDEV.P(E37,E49,E57,E61)/AVERAGE(E37,E49,E53,E57,E61)*100</f>
        <v>21.407312675917442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57" t="s">
        <v>197</v>
      </c>
      <c r="H48" s="409">
        <f>_xlfn.STDEV.P(D38,D46,D50,D54,D58,D62)/AVERAGE(D38,D46,D50,D54,D58,D62)*100</f>
        <v>22.775858507601363</v>
      </c>
      <c r="I48" s="409">
        <f>_xlfn.STDEV.P(E38,E46,E50,E54,E58,E62)/AVERAGE(E38,E46,E50,E54,E58,E62)*100</f>
        <v>34.939613265473426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G49" s="67" t="s">
        <v>136</v>
      </c>
      <c r="H49" s="482">
        <f>AVERAGE(H45:H48)</f>
        <v>36.040391986065302</v>
      </c>
      <c r="I49" s="482">
        <f>AVERAGE(I45:I48)</f>
        <v>22.971246092162289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G52" s="57"/>
      <c r="H52" s="483" t="s">
        <v>113</v>
      </c>
      <c r="I52" s="483"/>
      <c r="J52" s="483" t="s">
        <v>114</v>
      </c>
      <c r="K52" s="483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G53" s="57" t="s">
        <v>191</v>
      </c>
      <c r="H53" s="57" t="s">
        <v>198</v>
      </c>
      <c r="I53" s="57" t="s">
        <v>199</v>
      </c>
      <c r="J53" s="57" t="s">
        <v>198</v>
      </c>
      <c r="K53" s="57" t="s">
        <v>199</v>
      </c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G54" s="57" t="s">
        <v>106</v>
      </c>
      <c r="H54" s="409">
        <f>_xlfn.STDEV.P(D66,D69)</f>
        <v>8.730049999999995</v>
      </c>
      <c r="I54" s="409">
        <f>_xlfn.STDEV.P(D67:D68)</f>
        <v>6.5115499999999962</v>
      </c>
      <c r="J54" s="409">
        <f>_xlfn.STDEV.P(E66,E69)</f>
        <v>1.443949999999999</v>
      </c>
      <c r="K54" s="409">
        <f>_xlfn.STDEV.P(E67:E68)</f>
        <v>1.9801000000000009</v>
      </c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G55" s="57" t="s">
        <v>107</v>
      </c>
      <c r="H55" s="409" t="s">
        <v>180</v>
      </c>
      <c r="I55" s="409" t="s">
        <v>180</v>
      </c>
      <c r="J55" s="409" t="s">
        <v>180</v>
      </c>
      <c r="K55" s="409" t="s">
        <v>180</v>
      </c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G56" s="57" t="s">
        <v>108</v>
      </c>
      <c r="H56" s="409" t="s">
        <v>180</v>
      </c>
      <c r="I56" s="409" t="s">
        <v>180</v>
      </c>
      <c r="J56" s="409" t="s">
        <v>180</v>
      </c>
      <c r="K56" s="409" t="s">
        <v>180</v>
      </c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  <c r="G57" s="57" t="s">
        <v>109</v>
      </c>
      <c r="H57" s="409">
        <f>_xlfn.STDEV.P(D78,D81)</f>
        <v>13.588150000000001</v>
      </c>
      <c r="I57" s="409">
        <f>_xlfn.STDEV.P(D79:D80)</f>
        <v>3.8292500000000049</v>
      </c>
      <c r="J57" s="409">
        <f>_xlfn.STDEV.P(E78,E81)</f>
        <v>1.5254000000000012</v>
      </c>
      <c r="K57" s="409">
        <f>_xlfn.STDEV.P(E79:E80)</f>
        <v>1.7051999999999892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  <c r="G58" s="57" t="s">
        <v>110</v>
      </c>
      <c r="H58" s="409">
        <f>_xlfn.STDEV.P(D82,D85)</f>
        <v>15.758700000000026</v>
      </c>
      <c r="I58" s="409">
        <f>_xlfn.STDEV.P(D83:D84)</f>
        <v>16.829900000000002</v>
      </c>
      <c r="J58" s="409" t="s">
        <v>180</v>
      </c>
      <c r="K58" s="409">
        <f>_xlfn.STDEV.P(E83:E84)</f>
        <v>4.4113000000000033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G59" s="57" t="s">
        <v>111</v>
      </c>
      <c r="H59" s="409">
        <f>_xlfn.STDEV.P(D86,D89)</f>
        <v>2.3819999999999881</v>
      </c>
      <c r="I59" s="409">
        <f>_xlfn.STDEV.P(D87:D88)</f>
        <v>5.158400000000003</v>
      </c>
      <c r="J59" s="409">
        <f>_xlfn.STDEV.P(E86,E89)</f>
        <v>0.17054999999999954</v>
      </c>
      <c r="K59" s="409">
        <f>_xlfn.STDEV.P(E87:E88)</f>
        <v>1.7203499999999989</v>
      </c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  <c r="G60" s="57" t="s">
        <v>112</v>
      </c>
      <c r="H60" s="409">
        <f>_xlfn.STDEV.P(D90,D93)</f>
        <v>5.5229000000000106</v>
      </c>
      <c r="I60" s="409" t="s">
        <v>180</v>
      </c>
      <c r="J60" s="409">
        <f>_xlfn.STDEV.P(E90,E93)</f>
        <v>0.5909999999999993</v>
      </c>
      <c r="K60" s="409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  <c r="G61" s="482" t="s">
        <v>136</v>
      </c>
      <c r="H61" s="482">
        <f>AVERAGE(H54,H57:H60)</f>
        <v>9.1963600000000039</v>
      </c>
      <c r="I61" s="482">
        <f>AVERAGE(I54,I57:I59)</f>
        <v>8.082275000000001</v>
      </c>
      <c r="J61" s="482">
        <f>AVERAGE(J54,J59:J60,J57)</f>
        <v>0.9327249999999998</v>
      </c>
      <c r="K61" s="482">
        <f>AVERAGE(K54,K57:K59)</f>
        <v>2.4542374999999979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  <c r="H62" s="437"/>
      <c r="I62" s="433"/>
      <c r="J62" s="437"/>
      <c r="K62" s="437"/>
    </row>
    <row r="63" spans="2:11" x14ac:dyDescent="0.25">
      <c r="G63" s="215"/>
      <c r="H63" s="215" t="s">
        <v>147</v>
      </c>
      <c r="I63" s="215" t="s">
        <v>148</v>
      </c>
    </row>
    <row r="64" spans="2:11" x14ac:dyDescent="0.25">
      <c r="G64" s="57" t="s">
        <v>192</v>
      </c>
      <c r="H64" s="215" t="s">
        <v>193</v>
      </c>
      <c r="I64" s="215" t="s">
        <v>193</v>
      </c>
    </row>
    <row r="65" spans="2:11" x14ac:dyDescent="0.25">
      <c r="B65" s="433" t="s">
        <v>174</v>
      </c>
      <c r="C65" s="433" t="s">
        <v>175</v>
      </c>
      <c r="D65" s="479" t="s">
        <v>147</v>
      </c>
      <c r="E65" s="479" t="s">
        <v>148</v>
      </c>
      <c r="G65" s="57" t="s">
        <v>194</v>
      </c>
      <c r="H65" s="409">
        <f>_xlfn.STDEV.P(D66,D70,D78,D82,D86,D90)</f>
        <v>15.27217892939276</v>
      </c>
      <c r="I65" s="409">
        <f>_xlfn.STDEV.P(E66,E78,E86,E90)</f>
        <v>3.4257913650534784</v>
      </c>
    </row>
    <row r="66" spans="2:11" x14ac:dyDescent="0.25">
      <c r="B66" s="59" t="s">
        <v>1</v>
      </c>
      <c r="C66" s="59" t="s">
        <v>176</v>
      </c>
      <c r="D66" s="407">
        <v>47.014299999999999</v>
      </c>
      <c r="E66" s="407">
        <v>11.398899999999999</v>
      </c>
      <c r="G66" s="57" t="s">
        <v>195</v>
      </c>
      <c r="H66" s="409">
        <f>_xlfn.STDEV.P(D67,D71,D79,D83,D87)</f>
        <v>19.469162114338673</v>
      </c>
      <c r="I66" s="409">
        <f>_xlfn.STDEV.P(E67,E71,E79,E83,E87)</f>
        <v>1.7782015402085394</v>
      </c>
    </row>
    <row r="67" spans="2:11" x14ac:dyDescent="0.25">
      <c r="B67" s="59" t="s">
        <v>2</v>
      </c>
      <c r="C67" s="59" t="s">
        <v>177</v>
      </c>
      <c r="D67" s="407">
        <v>27.528300000000002</v>
      </c>
      <c r="E67" s="407">
        <v>12.6114</v>
      </c>
      <c r="G67" s="57" t="s">
        <v>196</v>
      </c>
      <c r="H67" s="409">
        <f>_xlfn.STDEV.P(D68,D76,D80,D84,D88,D92)</f>
        <v>11.154438814722551</v>
      </c>
      <c r="I67" s="409">
        <f>_xlfn.STDEV.P(E68,E80,E88,E92)</f>
        <v>2.5847060881026662</v>
      </c>
    </row>
    <row r="68" spans="2:11" x14ac:dyDescent="0.25">
      <c r="B68" s="59" t="s">
        <v>3</v>
      </c>
      <c r="C68" s="59" t="s">
        <v>177</v>
      </c>
      <c r="D68" s="407">
        <v>14.5052</v>
      </c>
      <c r="E68" s="407">
        <v>16.5716</v>
      </c>
      <c r="G68" s="57" t="s">
        <v>197</v>
      </c>
      <c r="H68" s="409">
        <f>_xlfn.STDEV.P(D69,D77,D81,D85,D89,D93)</f>
        <v>6.8280543374985889</v>
      </c>
      <c r="I68" s="409">
        <f>_xlfn.STDEV.P(E69,E77,E81,E85,E89,E93)</f>
        <v>4.1491198381571115</v>
      </c>
    </row>
    <row r="69" spans="2:11" x14ac:dyDescent="0.25">
      <c r="B69" s="59" t="s">
        <v>4</v>
      </c>
      <c r="C69" s="59" t="s">
        <v>176</v>
      </c>
      <c r="D69" s="407">
        <v>29.554200000000002</v>
      </c>
      <c r="E69" s="407">
        <v>8.5109999999999992</v>
      </c>
      <c r="G69" s="67" t="s">
        <v>136</v>
      </c>
      <c r="H69" s="482">
        <f>AVERAGE(H65:H68)</f>
        <v>13.180958548988144</v>
      </c>
      <c r="I69" s="482">
        <f>AVERAGE(I65:I68)</f>
        <v>2.9844547078804489</v>
      </c>
      <c r="J69" s="404"/>
      <c r="K69" s="404"/>
    </row>
    <row r="70" spans="2:11" x14ac:dyDescent="0.25">
      <c r="B70" s="70" t="s">
        <v>5</v>
      </c>
      <c r="C70" s="70" t="s">
        <v>176</v>
      </c>
      <c r="D70" s="334">
        <v>47.488500000000002</v>
      </c>
      <c r="E70" s="334" t="s">
        <v>180</v>
      </c>
    </row>
    <row r="71" spans="2:11" x14ac:dyDescent="0.25">
      <c r="B71" s="70" t="s">
        <v>6</v>
      </c>
      <c r="C71" s="70" t="s">
        <v>177</v>
      </c>
      <c r="D71" s="334">
        <v>71.694199999999995</v>
      </c>
      <c r="E71" s="334">
        <v>15.135</v>
      </c>
    </row>
    <row r="72" spans="2:11" x14ac:dyDescent="0.25">
      <c r="B72" s="70" t="s">
        <v>178</v>
      </c>
      <c r="C72" s="70" t="s">
        <v>177</v>
      </c>
      <c r="D72" s="334" t="s">
        <v>180</v>
      </c>
      <c r="E72" s="334" t="s">
        <v>180</v>
      </c>
    </row>
    <row r="73" spans="2:11" x14ac:dyDescent="0.25">
      <c r="B73" s="70" t="s">
        <v>179</v>
      </c>
      <c r="C73" s="70" t="s">
        <v>176</v>
      </c>
      <c r="D73" s="334" t="s">
        <v>180</v>
      </c>
      <c r="E73" s="334" t="s">
        <v>180</v>
      </c>
    </row>
    <row r="74" spans="2:11" x14ac:dyDescent="0.25">
      <c r="B74" s="63" t="s">
        <v>181</v>
      </c>
      <c r="C74" s="63" t="s">
        <v>176</v>
      </c>
      <c r="D74" s="280" t="s">
        <v>180</v>
      </c>
      <c r="E74" s="280" t="s">
        <v>180</v>
      </c>
    </row>
    <row r="75" spans="2:11" x14ac:dyDescent="0.25">
      <c r="B75" s="63" t="s">
        <v>182</v>
      </c>
      <c r="C75" s="63" t="s">
        <v>177</v>
      </c>
      <c r="D75" s="280" t="s">
        <v>180</v>
      </c>
      <c r="E75" s="280" t="s">
        <v>180</v>
      </c>
    </row>
    <row r="76" spans="2:11" x14ac:dyDescent="0.25">
      <c r="B76" s="63" t="s">
        <v>7</v>
      </c>
      <c r="C76" s="63" t="s">
        <v>177</v>
      </c>
      <c r="D76" s="280">
        <v>47.312199999999997</v>
      </c>
      <c r="E76" s="280" t="s">
        <v>180</v>
      </c>
    </row>
    <row r="77" spans="2:11" x14ac:dyDescent="0.25">
      <c r="B77" s="63" t="s">
        <v>8</v>
      </c>
      <c r="C77" s="63" t="s">
        <v>176</v>
      </c>
      <c r="D77" s="280">
        <v>38.784700000000001</v>
      </c>
      <c r="E77" s="280">
        <v>4.6359000000000004</v>
      </c>
    </row>
    <row r="78" spans="2:11" x14ac:dyDescent="0.25">
      <c r="B78" s="65" t="s">
        <v>9</v>
      </c>
      <c r="C78" s="65" t="s">
        <v>176</v>
      </c>
      <c r="D78" s="291">
        <v>54.746600000000001</v>
      </c>
      <c r="E78" s="291">
        <v>20.031400000000001</v>
      </c>
    </row>
    <row r="79" spans="2:11" x14ac:dyDescent="0.25">
      <c r="B79" s="65" t="s">
        <v>10</v>
      </c>
      <c r="C79" s="65" t="s">
        <v>177</v>
      </c>
      <c r="D79" s="291">
        <v>31.810600000000001</v>
      </c>
      <c r="E79" s="291">
        <v>14.8985</v>
      </c>
    </row>
    <row r="80" spans="2:11" x14ac:dyDescent="0.25">
      <c r="B80" s="65" t="s">
        <v>11</v>
      </c>
      <c r="C80" s="65" t="s">
        <v>177</v>
      </c>
      <c r="D80" s="291">
        <v>24.152100000000001</v>
      </c>
      <c r="E80" s="291">
        <v>11.488099999999999</v>
      </c>
    </row>
    <row r="81" spans="2:5" x14ac:dyDescent="0.25">
      <c r="B81" s="65" t="s">
        <v>12</v>
      </c>
      <c r="C81" s="65" t="s">
        <v>176</v>
      </c>
      <c r="D81" s="291">
        <v>27.5703</v>
      </c>
      <c r="E81" s="291">
        <v>16.980599999999999</v>
      </c>
    </row>
    <row r="82" spans="2:5" x14ac:dyDescent="0.25">
      <c r="B82" s="67" t="s">
        <v>13</v>
      </c>
      <c r="C82" s="59" t="s">
        <v>176</v>
      </c>
      <c r="D82" s="307">
        <v>63.384900000000002</v>
      </c>
      <c r="E82" s="307" t="s">
        <v>180</v>
      </c>
    </row>
    <row r="83" spans="2:5" x14ac:dyDescent="0.25">
      <c r="B83" s="67" t="s">
        <v>14</v>
      </c>
      <c r="C83" s="59" t="s">
        <v>177</v>
      </c>
      <c r="D83" s="307">
        <v>62.840499999999999</v>
      </c>
      <c r="E83" s="307">
        <v>17.649799999999999</v>
      </c>
    </row>
    <row r="84" spans="2:5" x14ac:dyDescent="0.25">
      <c r="B84" s="67" t="s">
        <v>15</v>
      </c>
      <c r="C84" s="59" t="s">
        <v>177</v>
      </c>
      <c r="D84" s="307">
        <v>29.180700000000002</v>
      </c>
      <c r="E84" s="307">
        <v>8.8271999999999995</v>
      </c>
    </row>
    <row r="85" spans="2:5" x14ac:dyDescent="0.25">
      <c r="B85" s="67" t="s">
        <v>16</v>
      </c>
      <c r="C85" s="59" t="s">
        <v>176</v>
      </c>
      <c r="D85" s="307">
        <v>31.8675</v>
      </c>
      <c r="E85" s="307">
        <v>15.056900000000001</v>
      </c>
    </row>
    <row r="86" spans="2:5" x14ac:dyDescent="0.25">
      <c r="B86" s="69" t="s">
        <v>17</v>
      </c>
      <c r="C86" s="69" t="s">
        <v>176</v>
      </c>
      <c r="D86" s="265">
        <v>21.8202</v>
      </c>
      <c r="E86" s="265">
        <v>12.7844</v>
      </c>
    </row>
    <row r="87" spans="2:5" x14ac:dyDescent="0.25">
      <c r="B87" s="69" t="s">
        <v>18</v>
      </c>
      <c r="C87" s="69" t="s">
        <v>177</v>
      </c>
      <c r="D87" s="265">
        <v>25.196200000000001</v>
      </c>
      <c r="E87" s="265">
        <v>13.1127</v>
      </c>
    </row>
    <row r="88" spans="2:5" x14ac:dyDescent="0.25">
      <c r="B88" s="69" t="s">
        <v>19</v>
      </c>
      <c r="C88" s="69" t="s">
        <v>177</v>
      </c>
      <c r="D88" s="265">
        <v>14.8794</v>
      </c>
      <c r="E88" s="265">
        <v>9.6720000000000006</v>
      </c>
    </row>
    <row r="89" spans="2:5" x14ac:dyDescent="0.25">
      <c r="B89" s="69" t="s">
        <v>20</v>
      </c>
      <c r="C89" s="69" t="s">
        <v>176</v>
      </c>
      <c r="D89" s="265">
        <v>17.0562</v>
      </c>
      <c r="E89" s="265">
        <v>12.443300000000001</v>
      </c>
    </row>
    <row r="90" spans="2:5" x14ac:dyDescent="0.25">
      <c r="B90" s="476" t="s">
        <v>21</v>
      </c>
      <c r="C90" s="476" t="s">
        <v>176</v>
      </c>
      <c r="D90" s="481">
        <v>23.997399999999999</v>
      </c>
      <c r="E90" s="334">
        <v>12.441000000000001</v>
      </c>
    </row>
    <row r="91" spans="2:5" x14ac:dyDescent="0.25">
      <c r="B91" s="476" t="s">
        <v>183</v>
      </c>
      <c r="C91" s="477" t="s">
        <v>177</v>
      </c>
      <c r="D91" s="481" t="s">
        <v>180</v>
      </c>
      <c r="E91" s="481" t="s">
        <v>180</v>
      </c>
    </row>
    <row r="92" spans="2:5" x14ac:dyDescent="0.25">
      <c r="B92" s="476" t="s">
        <v>22</v>
      </c>
      <c r="C92" s="476" t="s">
        <v>177</v>
      </c>
      <c r="D92" s="481">
        <v>31.258299999999998</v>
      </c>
      <c r="E92" s="334">
        <v>13.8108</v>
      </c>
    </row>
    <row r="93" spans="2:5" x14ac:dyDescent="0.25">
      <c r="B93" s="476" t="s">
        <v>23</v>
      </c>
      <c r="C93" s="476" t="s">
        <v>176</v>
      </c>
      <c r="D93" s="481">
        <v>35.043199999999999</v>
      </c>
      <c r="E93" s="334">
        <v>13.622999999999999</v>
      </c>
    </row>
  </sheetData>
  <mergeCells count="77"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  <mergeCell ref="K23:K26"/>
    <mergeCell ref="L23:L26"/>
    <mergeCell ref="K27:K30"/>
    <mergeCell ref="L27:L30"/>
    <mergeCell ref="D33:E33"/>
    <mergeCell ref="H32:I32"/>
    <mergeCell ref="J32:K32"/>
    <mergeCell ref="F23:F26"/>
    <mergeCell ref="I23:I26"/>
    <mergeCell ref="I27:I30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E3:E6"/>
    <mergeCell ref="F3:F6"/>
    <mergeCell ref="E7:E10"/>
    <mergeCell ref="F7:F10"/>
    <mergeCell ref="E11:E14"/>
    <mergeCell ref="F11:F14"/>
    <mergeCell ref="H52:I52"/>
    <mergeCell ref="J52:K52"/>
    <mergeCell ref="O23:O26"/>
    <mergeCell ref="O27:O30"/>
    <mergeCell ref="I3:I6"/>
    <mergeCell ref="I7:I10"/>
    <mergeCell ref="I11:I14"/>
    <mergeCell ref="I15:I18"/>
    <mergeCell ref="I19:I22"/>
    <mergeCell ref="M23:M26"/>
    <mergeCell ref="L19:L22"/>
    <mergeCell ref="O3:O6"/>
    <mergeCell ref="O7:O10"/>
    <mergeCell ref="O11:O14"/>
    <mergeCell ref="O15:O18"/>
    <mergeCell ref="O19:O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6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T15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Q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  <mergeCell ref="A29:N29"/>
    <mergeCell ref="B30:D30"/>
    <mergeCell ref="E30:G30"/>
    <mergeCell ref="H30:J30"/>
    <mergeCell ref="K30:M30"/>
    <mergeCell ref="W65:Y65"/>
    <mergeCell ref="W74:Y74"/>
    <mergeCell ref="Q13:AD13"/>
    <mergeCell ref="R14:T14"/>
    <mergeCell ref="U14:W14"/>
    <mergeCell ref="X14:Z14"/>
    <mergeCell ref="AA14:AC14"/>
    <mergeCell ref="R3:T3"/>
    <mergeCell ref="U3:W3"/>
    <mergeCell ref="X3:Z3"/>
    <mergeCell ref="AA3:AC3"/>
    <mergeCell ref="Q2:AD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8" t="s">
        <v>156</v>
      </c>
      <c r="S1" s="548"/>
      <c r="W1" s="549" t="s">
        <v>161</v>
      </c>
      <c r="X1" s="549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8" t="s">
        <v>156</v>
      </c>
      <c r="S14" s="548"/>
      <c r="W14" s="549" t="s">
        <v>161</v>
      </c>
      <c r="X14" s="549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8" t="s">
        <v>156</v>
      </c>
      <c r="S27" s="548"/>
      <c r="W27" s="549" t="s">
        <v>161</v>
      </c>
      <c r="X27" s="549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8" t="s">
        <v>156</v>
      </c>
      <c r="S56" s="548"/>
      <c r="T56" s="550" t="s">
        <v>166</v>
      </c>
      <c r="U56" s="550"/>
      <c r="Y56" s="549" t="s">
        <v>161</v>
      </c>
      <c r="Z56" s="549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8" t="s">
        <v>156</v>
      </c>
      <c r="S65" s="548"/>
      <c r="T65" s="550" t="s">
        <v>166</v>
      </c>
      <c r="U65" s="550"/>
      <c r="Y65" s="549" t="s">
        <v>161</v>
      </c>
      <c r="Z65" s="549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8" t="s">
        <v>156</v>
      </c>
      <c r="S75" s="548"/>
      <c r="T75" s="550" t="s">
        <v>166</v>
      </c>
      <c r="U75" s="550"/>
      <c r="Y75" s="549" t="s">
        <v>161</v>
      </c>
      <c r="Z75" s="549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1:S1"/>
    <mergeCell ref="R14:S14"/>
    <mergeCell ref="W1:X1"/>
    <mergeCell ref="W14:X14"/>
    <mergeCell ref="R56:S56"/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2026-06-04T18:41:47Z</dcterms:modified>
</cp:coreProperties>
</file>