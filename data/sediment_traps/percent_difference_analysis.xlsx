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sediment_trap_paper\data\sediment_traps\"/>
    </mc:Choice>
  </mc:AlternateContent>
  <xr:revisionPtr revIDLastSave="0" documentId="13_ncr:1_{A6DE3FE1-D007-4FD7-AB12-B2A13AF745B6}" xr6:coauthVersionLast="47" xr6:coauthVersionMax="47" xr10:uidLastSave="{00000000-0000-0000-0000-000000000000}"/>
  <bookViews>
    <workbookView xWindow="-108" yWindow="-108" windowWidth="23256" windowHeight="12456" xr2:uid="{347ADB85-2CF1-4558-ACF5-2AF5C43E10FA}"/>
  </bookViews>
  <sheets>
    <sheet name="spring" sheetId="1" r:id="rId1"/>
    <sheet name="summ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8" i="1" l="1"/>
  <c r="O18" i="1"/>
  <c r="L18" i="1"/>
  <c r="P17" i="1"/>
  <c r="O17" i="1"/>
  <c r="N17" i="1"/>
  <c r="M17" i="1"/>
  <c r="K17" i="1"/>
  <c r="L17" i="1"/>
  <c r="K16" i="1"/>
  <c r="P16" i="1"/>
  <c r="O16" i="1"/>
  <c r="N16" i="1"/>
  <c r="M16" i="1"/>
  <c r="L16" i="1"/>
  <c r="P15" i="1"/>
  <c r="O15" i="1"/>
  <c r="N15" i="1"/>
  <c r="M15" i="1"/>
  <c r="L15" i="1"/>
  <c r="K15" i="1"/>
  <c r="K12" i="1"/>
  <c r="P12" i="1"/>
  <c r="O12" i="1"/>
  <c r="N12" i="1"/>
  <c r="M12" i="1"/>
  <c r="L12" i="1"/>
  <c r="S12" i="1"/>
  <c r="K9" i="1"/>
  <c r="K8" i="1"/>
  <c r="K7" i="1"/>
  <c r="K6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3" i="1"/>
  <c r="M3" i="1"/>
  <c r="N3" i="1"/>
  <c r="O3" i="1"/>
  <c r="K3" i="1"/>
  <c r="K5" i="1"/>
  <c r="K4" i="1"/>
  <c r="S3" i="1"/>
  <c r="M44" i="3"/>
  <c r="M6" i="3"/>
  <c r="K6" i="3"/>
  <c r="K3" i="3"/>
  <c r="P45" i="3"/>
  <c r="O45" i="3"/>
  <c r="L45" i="3"/>
  <c r="P44" i="3"/>
  <c r="O44" i="3"/>
  <c r="N44" i="3"/>
  <c r="L44" i="3"/>
  <c r="K44" i="3"/>
  <c r="P43" i="3"/>
  <c r="N43" i="3"/>
  <c r="K43" i="3"/>
  <c r="P42" i="3"/>
  <c r="O42" i="3"/>
  <c r="N42" i="3"/>
  <c r="M42" i="3"/>
  <c r="L42" i="3"/>
  <c r="K42" i="3"/>
  <c r="P39" i="3"/>
  <c r="O39" i="3"/>
  <c r="N39" i="3"/>
  <c r="M39" i="3"/>
  <c r="L39" i="3"/>
  <c r="K39" i="3"/>
  <c r="P36" i="3"/>
  <c r="O36" i="3"/>
  <c r="L36" i="3"/>
  <c r="P35" i="3"/>
  <c r="O35" i="3"/>
  <c r="N35" i="3"/>
  <c r="M35" i="3"/>
  <c r="L35" i="3"/>
  <c r="K35" i="3"/>
  <c r="P34" i="3"/>
  <c r="N34" i="3"/>
  <c r="K34" i="3"/>
  <c r="P33" i="3"/>
  <c r="O33" i="3"/>
  <c r="N33" i="3"/>
  <c r="M33" i="3"/>
  <c r="L33" i="3"/>
  <c r="K33" i="3"/>
  <c r="P30" i="3"/>
  <c r="O30" i="3"/>
  <c r="N30" i="3"/>
  <c r="M30" i="3"/>
  <c r="L30" i="3"/>
  <c r="K30" i="3"/>
  <c r="P27" i="3"/>
  <c r="O27" i="3"/>
  <c r="L27" i="3"/>
  <c r="P26" i="3"/>
  <c r="O26" i="3"/>
  <c r="N26" i="3"/>
  <c r="M26" i="3"/>
  <c r="L26" i="3"/>
  <c r="K26" i="3"/>
  <c r="P25" i="3"/>
  <c r="N25" i="3"/>
  <c r="K25" i="3"/>
  <c r="P24" i="3"/>
  <c r="O24" i="3"/>
  <c r="N24" i="3"/>
  <c r="M24" i="3"/>
  <c r="L24" i="3"/>
  <c r="K24" i="3"/>
  <c r="P21" i="3"/>
  <c r="O21" i="3"/>
  <c r="N21" i="3"/>
  <c r="M21" i="3"/>
  <c r="L21" i="3"/>
  <c r="K21" i="3"/>
  <c r="P18" i="3"/>
  <c r="O18" i="3"/>
  <c r="L18" i="3"/>
  <c r="P17" i="3"/>
  <c r="O17" i="3"/>
  <c r="N17" i="3"/>
  <c r="M17" i="3"/>
  <c r="L17" i="3"/>
  <c r="K17" i="3"/>
  <c r="P16" i="3"/>
  <c r="N16" i="3"/>
  <c r="K16" i="3"/>
  <c r="P15" i="3"/>
  <c r="O15" i="3"/>
  <c r="N15" i="3"/>
  <c r="M15" i="3"/>
  <c r="L15" i="3"/>
  <c r="K15" i="3"/>
  <c r="P12" i="3"/>
  <c r="O12" i="3"/>
  <c r="N12" i="3"/>
  <c r="M12" i="3"/>
  <c r="L12" i="3"/>
  <c r="K12" i="3"/>
  <c r="P9" i="3"/>
  <c r="O9" i="3"/>
  <c r="L9" i="3"/>
  <c r="P8" i="3"/>
  <c r="O8" i="3"/>
  <c r="N8" i="3"/>
  <c r="M8" i="3"/>
  <c r="L8" i="3"/>
  <c r="K8" i="3"/>
  <c r="P7" i="3"/>
  <c r="N7" i="3"/>
  <c r="K7" i="3"/>
  <c r="P6" i="3"/>
  <c r="O6" i="3"/>
  <c r="N6" i="3"/>
  <c r="L6" i="3"/>
  <c r="P3" i="3"/>
  <c r="O3" i="3"/>
  <c r="N3" i="3"/>
  <c r="M3" i="3"/>
  <c r="L3" i="3"/>
  <c r="T16" i="1"/>
  <c r="S39" i="1"/>
  <c r="X45" i="1"/>
  <c r="W45" i="1"/>
  <c r="T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U40" i="1"/>
  <c r="X39" i="1"/>
  <c r="W39" i="1"/>
  <c r="V39" i="1"/>
  <c r="U39" i="1"/>
  <c r="T39" i="1"/>
  <c r="X36" i="1"/>
  <c r="W36" i="1"/>
  <c r="T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U31" i="1"/>
  <c r="X30" i="1"/>
  <c r="W30" i="1"/>
  <c r="V30" i="1"/>
  <c r="U30" i="1"/>
  <c r="T30" i="1"/>
  <c r="S30" i="1"/>
  <c r="S21" i="1"/>
  <c r="X27" i="1"/>
  <c r="W27" i="1"/>
  <c r="T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U22" i="1"/>
  <c r="X21" i="1"/>
  <c r="W21" i="1"/>
  <c r="V21" i="1"/>
  <c r="U21" i="1"/>
  <c r="T21" i="1"/>
  <c r="X12" i="1"/>
  <c r="T18" i="1"/>
  <c r="S17" i="1"/>
  <c r="U13" i="1"/>
  <c r="X18" i="1"/>
  <c r="W18" i="1"/>
  <c r="X17" i="1"/>
  <c r="W17" i="1"/>
  <c r="V17" i="1"/>
  <c r="U17" i="1"/>
  <c r="T17" i="1"/>
  <c r="X16" i="1"/>
  <c r="W16" i="1"/>
  <c r="V16" i="1"/>
  <c r="U16" i="1"/>
  <c r="S16" i="1"/>
  <c r="X15" i="1"/>
  <c r="W15" i="1"/>
  <c r="V15" i="1"/>
  <c r="U15" i="1"/>
  <c r="T15" i="1"/>
  <c r="S15" i="1"/>
  <c r="X14" i="1"/>
  <c r="W12" i="1"/>
  <c r="V12" i="1"/>
  <c r="U12" i="1"/>
  <c r="T12" i="1"/>
  <c r="X9" i="1"/>
  <c r="W9" i="1"/>
  <c r="T9" i="1"/>
  <c r="X8" i="1"/>
  <c r="W8" i="1"/>
  <c r="V8" i="1"/>
  <c r="U8" i="1"/>
  <c r="T8" i="1"/>
  <c r="S8" i="1"/>
  <c r="X7" i="1"/>
  <c r="W7" i="1"/>
  <c r="V7" i="1"/>
  <c r="U7" i="1"/>
  <c r="T7" i="1"/>
  <c r="S7" i="1"/>
  <c r="S6" i="1"/>
  <c r="X6" i="1"/>
  <c r="W6" i="1"/>
  <c r="V6" i="1"/>
  <c r="U6" i="1"/>
  <c r="T6" i="1"/>
  <c r="X5" i="1"/>
  <c r="U4" i="1"/>
  <c r="X3" i="1"/>
  <c r="W3" i="1"/>
  <c r="V3" i="1"/>
  <c r="U3" i="1"/>
  <c r="T3" i="1"/>
</calcChain>
</file>

<file path=xl/sharedStrings.xml><?xml version="1.0" encoding="utf-8"?>
<sst xmlns="http://schemas.openxmlformats.org/spreadsheetml/2006/main" count="472" uniqueCount="65">
  <si>
    <t xml:space="preserve">trap </t>
  </si>
  <si>
    <t>trap_type</t>
  </si>
  <si>
    <t>clay (g)</t>
  </si>
  <si>
    <t>T1A</t>
  </si>
  <si>
    <t>closed</t>
  </si>
  <si>
    <t>T1B</t>
  </si>
  <si>
    <t>open</t>
  </si>
  <si>
    <t>T1C</t>
  </si>
  <si>
    <t>T1D</t>
  </si>
  <si>
    <t>T2A</t>
  </si>
  <si>
    <t>T2B</t>
  </si>
  <si>
    <t>T2C</t>
  </si>
  <si>
    <t>T2D</t>
  </si>
  <si>
    <t>T3A</t>
  </si>
  <si>
    <t>T3B</t>
  </si>
  <si>
    <t>T3C</t>
  </si>
  <si>
    <t>T3D</t>
  </si>
  <si>
    <t>T5A</t>
  </si>
  <si>
    <t>T5B</t>
  </si>
  <si>
    <t>T5C</t>
  </si>
  <si>
    <t>T5D</t>
  </si>
  <si>
    <t>T6A</t>
  </si>
  <si>
    <t>T6B</t>
  </si>
  <si>
    <t>T6C</t>
  </si>
  <si>
    <t>T6D</t>
  </si>
  <si>
    <t>T7A</t>
  </si>
  <si>
    <t>T7B</t>
  </si>
  <si>
    <t>T7C</t>
  </si>
  <si>
    <t>T7D</t>
  </si>
  <si>
    <t>T8A</t>
  </si>
  <si>
    <t>T8B</t>
  </si>
  <si>
    <t>T8C</t>
  </si>
  <si>
    <t>T8D</t>
  </si>
  <si>
    <t>o-o</t>
  </si>
  <si>
    <t>c-c</t>
  </si>
  <si>
    <t>o-c</t>
  </si>
  <si>
    <t>c-o</t>
  </si>
  <si>
    <t>A-D</t>
  </si>
  <si>
    <t>B-C</t>
  </si>
  <si>
    <t>A-B</t>
  </si>
  <si>
    <t>A-C</t>
  </si>
  <si>
    <t>B-D</t>
  </si>
  <si>
    <t>T1</t>
  </si>
  <si>
    <t>T2</t>
  </si>
  <si>
    <t>T3</t>
  </si>
  <si>
    <t>T5</t>
  </si>
  <si>
    <t>T6</t>
  </si>
  <si>
    <t>T7</t>
  </si>
  <si>
    <t>T8</t>
  </si>
  <si>
    <t>D-C</t>
  </si>
  <si>
    <t>-</t>
  </si>
  <si>
    <t>Percent Difference</t>
  </si>
  <si>
    <t>Total Sediment</t>
  </si>
  <si>
    <t>Coarse Sand</t>
  </si>
  <si>
    <t>Fine Sand</t>
  </si>
  <si>
    <t>Silt</t>
  </si>
  <si>
    <t>Clay</t>
  </si>
  <si>
    <t>total (g)</t>
  </si>
  <si>
    <t>CS (g)</t>
  </si>
  <si>
    <t>FS (g)</t>
  </si>
  <si>
    <t xml:space="preserve">S (g) </t>
  </si>
  <si>
    <t xml:space="preserve">C (g) </t>
  </si>
  <si>
    <t xml:space="preserve">VHF probe </t>
  </si>
  <si>
    <t>Total deposited sediment in a T probe area</t>
  </si>
  <si>
    <t>Percent of the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</si>
</sst>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Fill="1" applyBorder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8660-E126-417E-A68C-1673277716A9}">
  <dimension ref="A1:X123"/>
  <sheetViews>
    <sheetView tabSelected="1" topLeftCell="A16" workbookViewId="0">
      <selection activeCell="J29" sqref="J29"/>
    </sheetView>
  </sheetViews>
  <sheetFormatPr defaultRowHeight="15" x14ac:dyDescent="0.25"/>
  <cols>
    <col min="1" max="1" width="9.140625" style="1"/>
    <col min="2" max="2" width="12.85546875" style="1" customWidth="1"/>
    <col min="3" max="3" width="13.7109375" style="1" customWidth="1"/>
    <col min="4" max="9" width="9.140625" style="1"/>
    <col min="10" max="10" width="20.85546875" customWidth="1"/>
    <col min="11" max="11" width="11" bestFit="1" customWidth="1"/>
    <col min="13" max="14" width="11" bestFit="1" customWidth="1"/>
    <col min="18" max="18" width="31.85546875" customWidth="1"/>
  </cols>
  <sheetData>
    <row r="1" spans="1:24" ht="15" customHeight="1" x14ac:dyDescent="0.25">
      <c r="J1" s="11" t="s">
        <v>63</v>
      </c>
      <c r="R1" s="5" t="s">
        <v>51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35</v>
      </c>
      <c r="X1" s="1" t="s">
        <v>36</v>
      </c>
    </row>
    <row r="2" spans="1:24" ht="15.75" customHeight="1" x14ac:dyDescent="0.25">
      <c r="A2" s="7" t="s">
        <v>0</v>
      </c>
      <c r="B2" s="7" t="s">
        <v>62</v>
      </c>
      <c r="C2" s="7" t="s">
        <v>1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J2" s="6"/>
      <c r="K2" s="7" t="s">
        <v>57</v>
      </c>
      <c r="L2" s="7" t="s">
        <v>58</v>
      </c>
      <c r="M2" s="7" t="s">
        <v>59</v>
      </c>
      <c r="N2" s="7" t="s">
        <v>60</v>
      </c>
      <c r="O2" s="7" t="s">
        <v>61</v>
      </c>
      <c r="R2" s="6" t="s">
        <v>52</v>
      </c>
      <c r="S2" s="3" t="s">
        <v>38</v>
      </c>
      <c r="T2" s="3" t="s">
        <v>37</v>
      </c>
      <c r="U2" s="3" t="s">
        <v>39</v>
      </c>
      <c r="V2" s="3" t="s">
        <v>41</v>
      </c>
      <c r="W2" s="3" t="s">
        <v>40</v>
      </c>
      <c r="X2" s="3" t="s">
        <v>49</v>
      </c>
    </row>
    <row r="3" spans="1:24" x14ac:dyDescent="0.25">
      <c r="A3" s="1" t="s">
        <v>3</v>
      </c>
      <c r="B3" s="1">
        <v>1</v>
      </c>
      <c r="C3" s="1" t="s">
        <v>4</v>
      </c>
      <c r="D3" s="1">
        <v>48.180999999999997</v>
      </c>
      <c r="E3" s="1">
        <v>30.17</v>
      </c>
      <c r="F3" s="1">
        <v>15.686999999999999</v>
      </c>
      <c r="G3" s="1">
        <v>2.1640000000000001</v>
      </c>
      <c r="H3" s="1">
        <v>0.16</v>
      </c>
      <c r="J3" s="4" t="s">
        <v>42</v>
      </c>
      <c r="K3" s="9">
        <f>SUM(D3:D6)</f>
        <v>120.81700000000001</v>
      </c>
      <c r="L3" s="9">
        <f t="shared" ref="L3:O3" si="0">SUM(E3:E6)</f>
        <v>66.284999999999997</v>
      </c>
      <c r="M3" s="9">
        <f t="shared" si="0"/>
        <v>47.675999999999995</v>
      </c>
      <c r="N3" s="9">
        <f t="shared" si="0"/>
        <v>6.3949999999999996</v>
      </c>
      <c r="O3" s="9">
        <f t="shared" si="0"/>
        <v>0.46200000000000002</v>
      </c>
      <c r="R3" s="4" t="s">
        <v>42</v>
      </c>
      <c r="S3" s="2">
        <f>ABS((D4-D5)/((D4+D5)/2))</f>
        <v>0.63746914144646616</v>
      </c>
      <c r="T3" s="2">
        <f>ABS((D3-D6)/((D3+D6)/2))</f>
        <v>0.5006682323632069</v>
      </c>
      <c r="U3" s="2">
        <f>ABS((D3-D4)/((D3+D4)/2))</f>
        <v>0.50203175509886133</v>
      </c>
      <c r="V3" s="2">
        <f>ABS((D4-D6)/((D4+D6)/2))</f>
        <v>1.4549485571760691E-3</v>
      </c>
      <c r="W3" s="2">
        <f>ABS((D3-D5)/((D3+D5)/2))</f>
        <v>1.055086156333719</v>
      </c>
      <c r="X3" s="2">
        <f>ABS((D5-D6)/((D5+D6)/2))</f>
        <v>0.63877597625028559</v>
      </c>
    </row>
    <row r="4" spans="1:24" x14ac:dyDescent="0.25">
      <c r="A4" s="1" t="s">
        <v>5</v>
      </c>
      <c r="B4" s="1">
        <v>1</v>
      </c>
      <c r="C4" s="1" t="s">
        <v>6</v>
      </c>
      <c r="D4" s="1">
        <v>28.846</v>
      </c>
      <c r="E4" s="1">
        <v>13.648</v>
      </c>
      <c r="F4" s="1">
        <v>13.302</v>
      </c>
      <c r="G4" s="1">
        <v>1.7669999999999999</v>
      </c>
      <c r="H4" s="1">
        <v>0.129</v>
      </c>
      <c r="J4" s="4" t="s">
        <v>43</v>
      </c>
      <c r="K4" s="9">
        <f>SUM(D7:D8)</f>
        <v>122.71299999999999</v>
      </c>
      <c r="L4" s="9">
        <f t="shared" ref="L4:O4" si="1">SUM(E7:E8)</f>
        <v>76.83</v>
      </c>
      <c r="M4" s="9">
        <f t="shared" si="1"/>
        <v>41.152000000000001</v>
      </c>
      <c r="N4" s="9">
        <f t="shared" si="1"/>
        <v>4.4009999999999998</v>
      </c>
      <c r="O4" s="9">
        <f t="shared" si="1"/>
        <v>0.33</v>
      </c>
      <c r="R4" s="4" t="s">
        <v>43</v>
      </c>
      <c r="S4" s="1" t="s">
        <v>50</v>
      </c>
      <c r="T4" s="1" t="s">
        <v>50</v>
      </c>
      <c r="U4" s="2">
        <f>ABS((D7-D8)/((D7+D8)/2))</f>
        <v>0.40564569361029401</v>
      </c>
      <c r="V4" s="1" t="s">
        <v>50</v>
      </c>
      <c r="W4" s="1" t="s">
        <v>50</v>
      </c>
      <c r="X4" s="1" t="s">
        <v>50</v>
      </c>
    </row>
    <row r="5" spans="1:24" x14ac:dyDescent="0.25">
      <c r="A5" s="1" t="s">
        <v>7</v>
      </c>
      <c r="B5" s="1">
        <v>1</v>
      </c>
      <c r="C5" s="1" t="s">
        <v>6</v>
      </c>
      <c r="D5" s="1">
        <v>14.901999999999999</v>
      </c>
      <c r="E5" s="1">
        <v>8.8190000000000008</v>
      </c>
      <c r="F5" s="1">
        <v>5.3849999999999998</v>
      </c>
      <c r="G5" s="1">
        <v>0.65600000000000003</v>
      </c>
      <c r="H5" s="1">
        <v>4.2999999999999997E-2</v>
      </c>
      <c r="J5" s="4" t="s">
        <v>44</v>
      </c>
      <c r="K5" s="9">
        <f>SUM(D13:D14)</f>
        <v>89.524000000000001</v>
      </c>
      <c r="L5" s="9">
        <f t="shared" ref="L5:O5" si="2">SUM(E13:E14)</f>
        <v>52.908999999999999</v>
      </c>
      <c r="M5" s="9">
        <f t="shared" si="2"/>
        <v>31.641999999999999</v>
      </c>
      <c r="N5" s="9">
        <f t="shared" si="2"/>
        <v>4.6189999999999998</v>
      </c>
      <c r="O5" s="9">
        <f t="shared" si="2"/>
        <v>0.35399999999999998</v>
      </c>
      <c r="R5" s="4" t="s">
        <v>44</v>
      </c>
      <c r="S5" s="1" t="s">
        <v>50</v>
      </c>
      <c r="T5" s="1" t="s">
        <v>50</v>
      </c>
      <c r="U5" s="1" t="s">
        <v>50</v>
      </c>
      <c r="V5" s="1" t="s">
        <v>50</v>
      </c>
      <c r="W5" s="1" t="s">
        <v>50</v>
      </c>
      <c r="X5" s="2">
        <f>ABS((D13-D14)/((D13+D14)/2))</f>
        <v>0.21956123497609586</v>
      </c>
    </row>
    <row r="6" spans="1:24" x14ac:dyDescent="0.25">
      <c r="A6" s="7" t="s">
        <v>8</v>
      </c>
      <c r="B6" s="7">
        <v>1</v>
      </c>
      <c r="C6" s="7" t="s">
        <v>4</v>
      </c>
      <c r="D6" s="7">
        <v>28.888000000000002</v>
      </c>
      <c r="E6" s="7">
        <v>13.648</v>
      </c>
      <c r="F6" s="7">
        <v>13.302</v>
      </c>
      <c r="G6" s="7">
        <v>1.8080000000000001</v>
      </c>
      <c r="H6" s="7">
        <v>0.13</v>
      </c>
      <c r="J6" s="4" t="s">
        <v>45</v>
      </c>
      <c r="K6" s="9">
        <f>SUM(D15:D18)</f>
        <v>145.822</v>
      </c>
      <c r="L6" s="9">
        <f t="shared" ref="L6:O6" si="3">SUM(E15:E18)</f>
        <v>80.971999999999994</v>
      </c>
      <c r="M6" s="9">
        <f t="shared" si="3"/>
        <v>53.941000000000003</v>
      </c>
      <c r="N6" s="9">
        <f t="shared" si="3"/>
        <v>10.11</v>
      </c>
      <c r="O6" s="9">
        <f t="shared" si="3"/>
        <v>0.79799999999999993</v>
      </c>
      <c r="R6" s="4" t="s">
        <v>45</v>
      </c>
      <c r="S6" s="2">
        <f>ABS((D16-D17)/((D16+D17)/2))</f>
        <v>0.28936828534593895</v>
      </c>
      <c r="T6" s="2">
        <f>ABS((D15-D18)/((D15+D18)/2))</f>
        <v>0.65277761931383849</v>
      </c>
      <c r="U6" s="2">
        <f>ABS((D15-D16)/((D15+D16)/2))</f>
        <v>0.54321122693414137</v>
      </c>
      <c r="V6" s="2">
        <f>ABS((D16-D18)/((D16+D18)/2))</f>
        <v>0.12022414671421293</v>
      </c>
      <c r="W6" s="2">
        <f>ABS((D15-D17)/((D15+D17)/2))</f>
        <v>0.80109871575548763</v>
      </c>
      <c r="X6" s="2">
        <f>ABS((D17-D18)/((D17+D18)/2))</f>
        <v>0.17062813654662762</v>
      </c>
    </row>
    <row r="7" spans="1:24" x14ac:dyDescent="0.25">
      <c r="A7" s="1" t="s">
        <v>9</v>
      </c>
      <c r="B7" s="1">
        <v>2</v>
      </c>
      <c r="C7" s="1" t="s">
        <v>4</v>
      </c>
      <c r="D7" s="1">
        <v>48.911999999999999</v>
      </c>
      <c r="E7" s="1">
        <v>30.08</v>
      </c>
      <c r="F7" s="1">
        <v>16.905000000000001</v>
      </c>
      <c r="G7" s="1">
        <v>1.7949999999999999</v>
      </c>
      <c r="H7" s="1">
        <v>0.13200000000000001</v>
      </c>
      <c r="J7" s="4" t="s">
        <v>46</v>
      </c>
      <c r="K7" s="9">
        <f>SUM(D19:D22)</f>
        <v>195.74</v>
      </c>
      <c r="L7" s="9">
        <f t="shared" ref="L7:O7" si="4">SUM(E19:E22)</f>
        <v>124.965</v>
      </c>
      <c r="M7" s="9">
        <f t="shared" si="4"/>
        <v>59.562999999999995</v>
      </c>
      <c r="N7" s="9">
        <f t="shared" si="4"/>
        <v>10.341000000000001</v>
      </c>
      <c r="O7" s="9">
        <f t="shared" si="4"/>
        <v>0.872</v>
      </c>
      <c r="R7" s="4" t="s">
        <v>46</v>
      </c>
      <c r="S7" s="2">
        <f>ABS((D20-D21)/((D20+D21)/2))</f>
        <v>0.71433916767139238</v>
      </c>
      <c r="T7" s="2">
        <f>ABS((D19-D22)/((D19+D22)/2))</f>
        <v>0.67100715376577447</v>
      </c>
      <c r="U7" s="2">
        <f>ABS((D19-D20)/((D19+D20)/2))</f>
        <v>1.7791541427573811E-2</v>
      </c>
      <c r="V7" s="2">
        <f>ABS((D20-D22)/((D20+D22)/2))</f>
        <v>0.65517101142787426</v>
      </c>
      <c r="W7" s="2">
        <f>ABS((D19-D21)/((D19+D21)/2))</f>
        <v>0.72981187874804898</v>
      </c>
      <c r="X7" s="2">
        <f>ABS((D21-D22)/((D21+D22)/2))</f>
        <v>6.7008376047005824E-2</v>
      </c>
    </row>
    <row r="8" spans="1:24" x14ac:dyDescent="0.25">
      <c r="A8" s="1" t="s">
        <v>10</v>
      </c>
      <c r="B8" s="1">
        <v>2</v>
      </c>
      <c r="C8" s="1" t="s">
        <v>6</v>
      </c>
      <c r="D8" s="1">
        <v>73.801000000000002</v>
      </c>
      <c r="E8" s="1">
        <v>46.75</v>
      </c>
      <c r="F8" s="1">
        <v>24.247</v>
      </c>
      <c r="G8" s="1">
        <v>2.6059999999999999</v>
      </c>
      <c r="H8" s="1">
        <v>0.19800000000000001</v>
      </c>
      <c r="J8" s="4" t="s">
        <v>47</v>
      </c>
      <c r="K8" s="9">
        <f>SUM(D23:D26)</f>
        <v>81.579000000000008</v>
      </c>
      <c r="L8" s="9">
        <f t="shared" ref="L8:O8" si="5">SUM(E23:E26)</f>
        <v>51.255000000000003</v>
      </c>
      <c r="M8" s="9">
        <f t="shared" si="5"/>
        <v>25.78</v>
      </c>
      <c r="N8" s="9">
        <f t="shared" si="5"/>
        <v>4.2720000000000002</v>
      </c>
      <c r="O8" s="9">
        <f t="shared" si="5"/>
        <v>0.27300000000000002</v>
      </c>
      <c r="R8" s="4" t="s">
        <v>47</v>
      </c>
      <c r="S8" s="2">
        <f>ABS((D24-D25)/((D24+D25)/2))</f>
        <v>0.51276391554702494</v>
      </c>
      <c r="T8" s="2">
        <f>ABS((D23-D26)/((D23+D26)/2))</f>
        <v>0.22782525877841558</v>
      </c>
      <c r="U8" s="2">
        <f>ABS((D23-D24)/((D23+D24)/2))</f>
        <v>0.16366077884516056</v>
      </c>
      <c r="V8" s="2">
        <f>ABS((D24-D26)/((D24+D26)/2))</f>
        <v>0.38787049703602372</v>
      </c>
      <c r="W8" s="2">
        <f>ABS((D23-D25)/((D23+D25)/2))</f>
        <v>0.35658421485193142</v>
      </c>
      <c r="X8" s="2">
        <f>ABS((D25-D26)/((D25+D26)/2))</f>
        <v>0.13142822692470005</v>
      </c>
    </row>
    <row r="9" spans="1:24" x14ac:dyDescent="0.25">
      <c r="A9" s="1" t="s">
        <v>11</v>
      </c>
      <c r="B9" s="1">
        <v>2</v>
      </c>
      <c r="C9" s="1" t="s">
        <v>6</v>
      </c>
      <c r="J9" s="4" t="s">
        <v>48</v>
      </c>
      <c r="K9" s="9">
        <f>SUM(D27:D30)</f>
        <v>93.533999999999992</v>
      </c>
      <c r="L9" s="9">
        <f t="shared" ref="L9:O9" si="6">SUM(E27:E30)</f>
        <v>52.313000000000002</v>
      </c>
      <c r="M9" s="9">
        <f t="shared" si="6"/>
        <v>36.108999999999995</v>
      </c>
      <c r="N9" s="9">
        <f t="shared" si="6"/>
        <v>4.7880000000000003</v>
      </c>
      <c r="O9" s="9">
        <f t="shared" si="6"/>
        <v>0.32399999999999995</v>
      </c>
      <c r="R9" s="4" t="s">
        <v>48</v>
      </c>
      <c r="S9" s="1" t="s">
        <v>50</v>
      </c>
      <c r="T9" s="2">
        <f>ABS((D27-D30)/((D27+D30)/2))</f>
        <v>0.34557973727475466</v>
      </c>
      <c r="U9" s="2" t="s">
        <v>50</v>
      </c>
      <c r="V9" s="2" t="s">
        <v>50</v>
      </c>
      <c r="W9" s="2">
        <f>ABS((D27-D29)/((D27+D29)/2))</f>
        <v>0.2327247435228656</v>
      </c>
      <c r="X9" s="2">
        <f>ABS((D29-D30)/((D29+D30)/2))</f>
        <v>0.11517064220183491</v>
      </c>
    </row>
    <row r="10" spans="1:24" x14ac:dyDescent="0.25">
      <c r="A10" s="7" t="s">
        <v>12</v>
      </c>
      <c r="B10" s="7">
        <v>2</v>
      </c>
      <c r="C10" s="7" t="s">
        <v>4</v>
      </c>
      <c r="D10" s="7"/>
      <c r="E10" s="7"/>
      <c r="F10" s="7"/>
      <c r="G10" s="7"/>
      <c r="H10" s="7"/>
      <c r="J10" s="12" t="s">
        <v>64</v>
      </c>
      <c r="K10" s="1" t="s">
        <v>33</v>
      </c>
      <c r="L10" s="1" t="s">
        <v>34</v>
      </c>
      <c r="M10" s="1" t="s">
        <v>35</v>
      </c>
      <c r="N10" s="1" t="s">
        <v>36</v>
      </c>
      <c r="O10" s="1" t="s">
        <v>35</v>
      </c>
      <c r="P10" s="1" t="s">
        <v>36</v>
      </c>
    </row>
    <row r="11" spans="1:24" x14ac:dyDescent="0.25">
      <c r="A11" s="1" t="s">
        <v>13</v>
      </c>
      <c r="B11" s="1">
        <v>3</v>
      </c>
      <c r="C11" s="1" t="s">
        <v>4</v>
      </c>
      <c r="J11" s="6" t="s">
        <v>52</v>
      </c>
      <c r="K11" s="3" t="s">
        <v>38</v>
      </c>
      <c r="L11" s="3" t="s">
        <v>37</v>
      </c>
      <c r="M11" s="3" t="s">
        <v>39</v>
      </c>
      <c r="N11" s="3" t="s">
        <v>41</v>
      </c>
      <c r="O11" s="3" t="s">
        <v>40</v>
      </c>
      <c r="P11" s="3" t="s">
        <v>49</v>
      </c>
      <c r="R11" s="6" t="s">
        <v>53</v>
      </c>
      <c r="S11" s="3" t="s">
        <v>38</v>
      </c>
      <c r="T11" s="3" t="s">
        <v>37</v>
      </c>
      <c r="U11" s="3" t="s">
        <v>39</v>
      </c>
      <c r="V11" s="3" t="s">
        <v>41</v>
      </c>
      <c r="W11" s="3" t="s">
        <v>40</v>
      </c>
      <c r="X11" s="3" t="s">
        <v>49</v>
      </c>
    </row>
    <row r="12" spans="1:24" x14ac:dyDescent="0.25">
      <c r="A12" s="1" t="s">
        <v>14</v>
      </c>
      <c r="B12" s="1">
        <v>3</v>
      </c>
      <c r="C12" s="1" t="s">
        <v>6</v>
      </c>
      <c r="J12" s="4" t="s">
        <v>42</v>
      </c>
      <c r="K12" s="13">
        <f>SUM(D4:D5)/K3</f>
        <v>0.36210135990795994</v>
      </c>
      <c r="L12" s="13">
        <f>SUM(D3,D6)/K3</f>
        <v>0.63789864009204</v>
      </c>
      <c r="M12" s="2">
        <f>SUM(D3:D4)/K3</f>
        <v>0.6375510068947251</v>
      </c>
      <c r="N12" s="2">
        <f>SUM(D4,D6)/K3</f>
        <v>0.47786321461383746</v>
      </c>
      <c r="O12" s="2">
        <f>SUM(D3,D5)/K3</f>
        <v>0.52213678538616248</v>
      </c>
      <c r="P12" s="2">
        <f>SUM(D5,D6)/K3</f>
        <v>0.3624489931052749</v>
      </c>
      <c r="R12" s="4" t="s">
        <v>42</v>
      </c>
      <c r="S12" s="2">
        <f>ABS((E4-E5)/((E4+E5)/2))</f>
        <v>0.42987492767169616</v>
      </c>
      <c r="T12" s="2">
        <f>ABS((E3-E6)/((E3+E6)/2))</f>
        <v>0.75411931169838897</v>
      </c>
      <c r="U12" s="2">
        <f>ABS((E3-E4)/((E3+E4)/2))</f>
        <v>0.75411931169838897</v>
      </c>
      <c r="V12" s="2">
        <f>ABS((E4-E6)/((E4+E6)/2))</f>
        <v>0</v>
      </c>
      <c r="W12" s="2">
        <f>ABS((E3-E5)/((E3+E5)/2))</f>
        <v>1.0952319885095794</v>
      </c>
      <c r="X12" s="2">
        <f>ABS((E5-E6)/((E5+E6)/2))</f>
        <v>0.42987492767169616</v>
      </c>
    </row>
    <row r="13" spans="1:24" x14ac:dyDescent="0.25">
      <c r="A13" s="1" t="s">
        <v>15</v>
      </c>
      <c r="B13" s="1">
        <v>3</v>
      </c>
      <c r="C13" s="1" t="s">
        <v>6</v>
      </c>
      <c r="D13" s="1">
        <v>49.676000000000002</v>
      </c>
      <c r="E13" s="1">
        <v>25.896999999999998</v>
      </c>
      <c r="F13" s="1">
        <v>20.538</v>
      </c>
      <c r="G13" s="1">
        <v>3.008</v>
      </c>
      <c r="H13" s="1">
        <v>0.23300000000000001</v>
      </c>
      <c r="J13" s="4" t="s">
        <v>43</v>
      </c>
      <c r="K13" s="13"/>
      <c r="L13" s="13"/>
      <c r="M13" s="2"/>
      <c r="N13" s="2"/>
      <c r="O13" s="2"/>
      <c r="P13" s="2"/>
      <c r="R13" s="4" t="s">
        <v>43</v>
      </c>
      <c r="S13" s="1" t="s">
        <v>50</v>
      </c>
      <c r="T13" s="1" t="s">
        <v>50</v>
      </c>
      <c r="U13" s="2">
        <f>ABS((E7-E8)/((E7+E8)/2))</f>
        <v>0.43394507353898221</v>
      </c>
      <c r="V13" s="1" t="s">
        <v>50</v>
      </c>
      <c r="W13" s="1" t="s">
        <v>50</v>
      </c>
      <c r="X13" s="1" t="s">
        <v>50</v>
      </c>
    </row>
    <row r="14" spans="1:24" x14ac:dyDescent="0.25">
      <c r="A14" s="7" t="s">
        <v>16</v>
      </c>
      <c r="B14" s="7">
        <v>3</v>
      </c>
      <c r="C14" s="7" t="s">
        <v>4</v>
      </c>
      <c r="D14" s="7">
        <v>39.847999999999999</v>
      </c>
      <c r="E14" s="7">
        <v>27.012</v>
      </c>
      <c r="F14" s="7">
        <v>11.103999999999999</v>
      </c>
      <c r="G14" s="7">
        <v>1.611</v>
      </c>
      <c r="H14" s="7">
        <v>0.121</v>
      </c>
      <c r="J14" s="4" t="s">
        <v>44</v>
      </c>
      <c r="K14" s="13"/>
      <c r="L14" s="13"/>
      <c r="M14" s="2"/>
      <c r="N14" s="2"/>
      <c r="O14" s="2"/>
      <c r="P14" s="2"/>
      <c r="R14" s="4" t="s">
        <v>44</v>
      </c>
      <c r="S14" s="1" t="s">
        <v>50</v>
      </c>
      <c r="T14" s="1" t="s">
        <v>50</v>
      </c>
      <c r="U14" s="1" t="s">
        <v>50</v>
      </c>
      <c r="V14" s="1" t="s">
        <v>50</v>
      </c>
      <c r="W14" s="1" t="s">
        <v>50</v>
      </c>
      <c r="X14" s="2">
        <f>ABS((E13-E14)/((E13+E14)/2))</f>
        <v>4.2147838741991045E-2</v>
      </c>
    </row>
    <row r="15" spans="1:24" x14ac:dyDescent="0.25">
      <c r="A15" s="1" t="s">
        <v>17</v>
      </c>
      <c r="B15" s="1">
        <v>5</v>
      </c>
      <c r="C15" s="1" t="s">
        <v>4</v>
      </c>
      <c r="D15" s="1">
        <v>58.127000000000002</v>
      </c>
      <c r="E15" s="1">
        <v>32.360999999999997</v>
      </c>
      <c r="F15" s="1">
        <v>21.376999999999999</v>
      </c>
      <c r="G15" s="1">
        <v>4.0670000000000002</v>
      </c>
      <c r="H15" s="1">
        <v>0.32200000000000001</v>
      </c>
      <c r="J15" s="4" t="s">
        <v>45</v>
      </c>
      <c r="K15" s="13">
        <f>SUM(D16:D17)/K6</f>
        <v>0.39894528946249536</v>
      </c>
      <c r="L15" s="13">
        <f>SUM(D15,D18)/K6</f>
        <v>0.6010547105375047</v>
      </c>
      <c r="M15" s="2">
        <f>SUM(D15:D16)/K6</f>
        <v>0.62694929434516056</v>
      </c>
      <c r="N15" s="2">
        <f>SUM(D18,D16)/K6</f>
        <v>0.43077176283414026</v>
      </c>
      <c r="O15" s="2">
        <f>SUM(D15,D17)/K6</f>
        <v>0.56922823716585969</v>
      </c>
      <c r="P15" s="2">
        <f>SUM(D17,D18)/K6</f>
        <v>0.37305070565483944</v>
      </c>
      <c r="R15" s="4" t="s">
        <v>45</v>
      </c>
      <c r="S15" s="2">
        <f>ABS((E16-E17)/((E16+E17)/2))</f>
        <v>0.34123031751057881</v>
      </c>
      <c r="T15" s="2">
        <f>ABS((E15-E18)/((E15+E18)/2))</f>
        <v>0.79981831159561345</v>
      </c>
      <c r="U15" s="2">
        <f>ABS((E15-E16)/((E15+E16)/2))</f>
        <v>0.45652256423881277</v>
      </c>
      <c r="V15" s="2">
        <f>ABS((E16-E18)/((E16+E18)/2))</f>
        <v>0.3777810261657652</v>
      </c>
      <c r="W15" s="2">
        <f>ABS((E15-E17)/((E15+E17)/2))</f>
        <v>0.76784912438257746</v>
      </c>
      <c r="X15" s="2">
        <f>ABS((E17-E18)/((E17+E18)/2))</f>
        <v>3.7767876087417829E-2</v>
      </c>
    </row>
    <row r="16" spans="1:24" x14ac:dyDescent="0.25">
      <c r="A16" s="1" t="s">
        <v>18</v>
      </c>
      <c r="B16" s="1">
        <v>5</v>
      </c>
      <c r="C16" s="1" t="s">
        <v>6</v>
      </c>
      <c r="D16" s="1">
        <v>33.295999999999999</v>
      </c>
      <c r="E16" s="1">
        <v>20.332999999999998</v>
      </c>
      <c r="F16" s="1">
        <v>10.928000000000001</v>
      </c>
      <c r="G16" s="1">
        <v>1.889</v>
      </c>
      <c r="H16" s="1">
        <v>0.14599999999999999</v>
      </c>
      <c r="J16" s="4" t="s">
        <v>46</v>
      </c>
      <c r="K16" s="13">
        <f>SUM(D20:D21)/K7</f>
        <v>0.49152958005517516</v>
      </c>
      <c r="L16" s="13">
        <f>SUM(D19,D22)/K7</f>
        <v>0.50847041994482467</v>
      </c>
      <c r="M16" s="2">
        <f>SUM(D19:D20)/K7</f>
        <v>0.67307653009093693</v>
      </c>
      <c r="N16" s="2">
        <f>SUM(D22,D20)/K7</f>
        <v>0.5024828854603044</v>
      </c>
      <c r="O16" s="2">
        <f>SUM(D19,D21)/K7</f>
        <v>0.49751711453969544</v>
      </c>
      <c r="P16" s="2">
        <f>SUM(D21,D22)/K7</f>
        <v>0.32692346990906301</v>
      </c>
      <c r="R16" s="4" t="s">
        <v>46</v>
      </c>
      <c r="S16" s="2">
        <f>ABS((E20-E21)/((E20+E21)/2))</f>
        <v>0.91986074325787492</v>
      </c>
      <c r="T16" s="2">
        <f>ABS((E19-E22)/((E19+E22)/2))</f>
        <v>0.68385387790303709</v>
      </c>
      <c r="U16" s="2">
        <f>ABS((E19-E20)/((E19+E20)/2))</f>
        <v>5.8359747794345402E-3</v>
      </c>
      <c r="V16" s="2">
        <f>ABS((E20-E22)/((E20+E22)/2))</f>
        <v>0.68900240845567384</v>
      </c>
      <c r="W16" s="2">
        <f>ABS((E19-E21)/((E19+E21)/2))</f>
        <v>0.91525310314831554</v>
      </c>
      <c r="X16" s="2">
        <f>ABS((E21-E22)/((E21+E22)/2))</f>
        <v>0.27432403661911864</v>
      </c>
    </row>
    <row r="17" spans="1:24" x14ac:dyDescent="0.25">
      <c r="A17" s="1" t="s">
        <v>19</v>
      </c>
      <c r="B17" s="1">
        <v>5</v>
      </c>
      <c r="C17" s="1" t="s">
        <v>6</v>
      </c>
      <c r="D17" s="1">
        <v>24.879000000000001</v>
      </c>
      <c r="E17" s="1">
        <v>14.406000000000001</v>
      </c>
      <c r="F17" s="1">
        <v>8.7729999999999997</v>
      </c>
      <c r="G17" s="1">
        <v>1.59</v>
      </c>
      <c r="H17" s="1">
        <v>0.109</v>
      </c>
      <c r="J17" s="4" t="s">
        <v>47</v>
      </c>
      <c r="K17" s="13">
        <f>SUM(D24:D25)/K8</f>
        <v>0.51091579940916165</v>
      </c>
      <c r="L17" s="13">
        <f>SUM(D23,D26)/K8</f>
        <v>0.48908420059083829</v>
      </c>
      <c r="M17" s="2">
        <f>SUM(D23:D24)/K8</f>
        <v>0.59335123009598056</v>
      </c>
      <c r="N17" s="2">
        <f>SUM(D26,D24)/K8</f>
        <v>0.53763836281395938</v>
      </c>
      <c r="O17" s="2">
        <f>SUM(D23,D25)/K8</f>
        <v>0.46236163718604051</v>
      </c>
      <c r="P17" s="2">
        <f>SUM(D25,D26)/K8</f>
        <v>0.40664876990401938</v>
      </c>
      <c r="R17" s="4" t="s">
        <v>47</v>
      </c>
      <c r="S17" s="2">
        <f>ABS((E24-E25)/((E24+E25)/2))</f>
        <v>0.63333333333333341</v>
      </c>
      <c r="T17" s="2">
        <f>ABS((E23-E26)/((E23+E26)/2))</f>
        <v>0.45411720369323533</v>
      </c>
      <c r="U17" s="2">
        <f>ABS((E23-E24)/((E23+E24)/2))</f>
        <v>3.686182957547599E-4</v>
      </c>
      <c r="V17" s="2">
        <f>ABS((E24-E26)/((E24+E26)/2))</f>
        <v>0.45376757510648719</v>
      </c>
      <c r="W17" s="2">
        <f>ABS((E23-E25)/((E23+E25)/2))</f>
        <v>0.63366496804982619</v>
      </c>
      <c r="X17" s="2">
        <f>ABS((E25-E26)/((E25+E26)/2))</f>
        <v>0.19346559007539715</v>
      </c>
    </row>
    <row r="18" spans="1:24" x14ac:dyDescent="0.25">
      <c r="A18" s="7" t="s">
        <v>20</v>
      </c>
      <c r="B18" s="7">
        <v>5</v>
      </c>
      <c r="C18" s="7" t="s">
        <v>4</v>
      </c>
      <c r="D18" s="7">
        <v>29.52</v>
      </c>
      <c r="E18" s="7">
        <v>13.872</v>
      </c>
      <c r="F18" s="7">
        <v>12.863</v>
      </c>
      <c r="G18" s="7">
        <v>2.5640000000000001</v>
      </c>
      <c r="H18" s="7">
        <v>0.221</v>
      </c>
      <c r="J18" s="4" t="s">
        <v>48</v>
      </c>
      <c r="K18" s="13"/>
      <c r="L18" s="13">
        <f>SUM(D27,D30)/K9</f>
        <v>0.65679859730151613</v>
      </c>
      <c r="M18" s="2"/>
      <c r="N18" s="2"/>
      <c r="O18" s="2">
        <f>SUM(D27,D29)/K9</f>
        <v>0.61485662967477073</v>
      </c>
      <c r="P18" s="2">
        <f>SUM(D29,D30)/K9</f>
        <v>0.72834477302371337</v>
      </c>
      <c r="R18" s="4" t="s">
        <v>48</v>
      </c>
      <c r="S18" s="1" t="s">
        <v>50</v>
      </c>
      <c r="T18" s="2">
        <f>ABS((E27-E30)/((E27+E30)/2))</f>
        <v>0.439394817691728</v>
      </c>
      <c r="U18" s="2" t="s">
        <v>50</v>
      </c>
      <c r="V18" s="2" t="s">
        <v>50</v>
      </c>
      <c r="W18" s="2">
        <f>ABS((E27-E29)/((E27+E29)/2))</f>
        <v>0.27820414428242518</v>
      </c>
      <c r="X18" s="2">
        <f>ABS((E29-E30)/((E29+E30)/2))</f>
        <v>0.16627200658910737</v>
      </c>
    </row>
    <row r="19" spans="1:24" x14ac:dyDescent="0.25">
      <c r="A19" s="1" t="s">
        <v>21</v>
      </c>
      <c r="B19" s="1">
        <v>6</v>
      </c>
      <c r="C19" s="1" t="s">
        <v>4</v>
      </c>
      <c r="D19" s="1">
        <v>66.459999999999994</v>
      </c>
      <c r="E19" s="1">
        <v>43.567</v>
      </c>
      <c r="F19" s="1">
        <v>18.896000000000001</v>
      </c>
      <c r="G19" s="1">
        <v>3.6720000000000002</v>
      </c>
      <c r="H19" s="1">
        <v>0.32500000000000001</v>
      </c>
      <c r="R19" s="1"/>
    </row>
    <row r="20" spans="1:24" ht="15.75" customHeight="1" x14ac:dyDescent="0.25">
      <c r="A20" s="1" t="s">
        <v>22</v>
      </c>
      <c r="B20" s="1">
        <v>6</v>
      </c>
      <c r="C20" s="1" t="s">
        <v>6</v>
      </c>
      <c r="D20" s="1">
        <v>65.287999999999997</v>
      </c>
      <c r="E20" s="1">
        <v>43.822000000000003</v>
      </c>
      <c r="F20" s="1">
        <v>18.184000000000001</v>
      </c>
      <c r="G20" s="1">
        <v>3.0289999999999999</v>
      </c>
      <c r="H20" s="1">
        <v>0.254</v>
      </c>
      <c r="J20" s="13"/>
      <c r="K20" s="2"/>
      <c r="R20" s="6" t="s">
        <v>54</v>
      </c>
      <c r="S20" s="3" t="s">
        <v>38</v>
      </c>
      <c r="T20" s="3" t="s">
        <v>37</v>
      </c>
      <c r="U20" s="3" t="s">
        <v>39</v>
      </c>
      <c r="V20" s="3" t="s">
        <v>41</v>
      </c>
      <c r="W20" s="3" t="s">
        <v>40</v>
      </c>
      <c r="X20" s="3" t="s">
        <v>49</v>
      </c>
    </row>
    <row r="21" spans="1:24" x14ac:dyDescent="0.25">
      <c r="A21" s="1" t="s">
        <v>23</v>
      </c>
      <c r="B21" s="1">
        <v>6</v>
      </c>
      <c r="C21" s="1" t="s">
        <v>6</v>
      </c>
      <c r="D21" s="1">
        <v>30.923999999999999</v>
      </c>
      <c r="E21" s="1">
        <v>16.210999999999999</v>
      </c>
      <c r="F21" s="1">
        <v>12.464</v>
      </c>
      <c r="G21" s="1">
        <v>2.0790000000000002</v>
      </c>
      <c r="H21" s="1">
        <v>0.17</v>
      </c>
      <c r="J21" s="13"/>
      <c r="K21" s="2"/>
      <c r="R21" s="4" t="s">
        <v>42</v>
      </c>
      <c r="S21" s="2">
        <f>ABS((F4-F5)/((F4+F5)/2))</f>
        <v>0.84732701878311134</v>
      </c>
      <c r="T21" s="2">
        <f>ABS((F3-F6)/((F3+F6)/2))</f>
        <v>0.16454517230673704</v>
      </c>
      <c r="U21" s="2">
        <f>ABS((F3-F4)/((F3+F4)/2))</f>
        <v>0.16454517230673704</v>
      </c>
      <c r="V21" s="2">
        <f>ABS((F4-F6)/((F4+F6)/2))</f>
        <v>0</v>
      </c>
      <c r="W21" s="2">
        <f>ABS((F3-F5)/((F3+F5)/2))</f>
        <v>0.97779043280182232</v>
      </c>
      <c r="X21" s="2">
        <f>ABS((F5-F6)/((F5+F6)/2))</f>
        <v>0.84732701878311134</v>
      </c>
    </row>
    <row r="22" spans="1:24" x14ac:dyDescent="0.25">
      <c r="A22" s="7" t="s">
        <v>24</v>
      </c>
      <c r="B22" s="7">
        <v>6</v>
      </c>
      <c r="C22" s="7" t="s">
        <v>4</v>
      </c>
      <c r="D22" s="7">
        <v>33.067999999999998</v>
      </c>
      <c r="E22" s="7">
        <v>21.364999999999998</v>
      </c>
      <c r="F22" s="7">
        <v>10.019</v>
      </c>
      <c r="G22" s="7">
        <v>1.5609999999999999</v>
      </c>
      <c r="H22" s="7">
        <v>0.123</v>
      </c>
      <c r="J22" s="13"/>
      <c r="K22" s="2"/>
      <c r="R22" s="4" t="s">
        <v>43</v>
      </c>
      <c r="S22" s="1" t="s">
        <v>50</v>
      </c>
      <c r="T22" s="1" t="s">
        <v>50</v>
      </c>
      <c r="U22" s="2">
        <f>ABS((F7-F8)/((F7+F8)/2))</f>
        <v>0.35682348367029543</v>
      </c>
      <c r="V22" s="1" t="s">
        <v>50</v>
      </c>
      <c r="W22" s="1" t="s">
        <v>50</v>
      </c>
      <c r="X22" s="1" t="s">
        <v>50</v>
      </c>
    </row>
    <row r="23" spans="1:24" x14ac:dyDescent="0.25">
      <c r="A23" s="1" t="s">
        <v>25</v>
      </c>
      <c r="B23" s="1">
        <v>7</v>
      </c>
      <c r="C23" s="1" t="s">
        <v>4</v>
      </c>
      <c r="D23" s="1">
        <v>22.222000000000001</v>
      </c>
      <c r="E23" s="1">
        <v>16.28</v>
      </c>
      <c r="F23" s="1">
        <v>5.218</v>
      </c>
      <c r="G23" s="1">
        <v>0.68200000000000005</v>
      </c>
      <c r="H23" s="1">
        <v>4.2000000000000003E-2</v>
      </c>
      <c r="J23" s="13"/>
      <c r="K23" s="2"/>
      <c r="R23" s="4" t="s">
        <v>44</v>
      </c>
      <c r="S23" s="1" t="s">
        <v>50</v>
      </c>
      <c r="T23" s="1" t="s">
        <v>50</v>
      </c>
      <c r="U23" s="1" t="s">
        <v>50</v>
      </c>
      <c r="V23" s="1" t="s">
        <v>50</v>
      </c>
      <c r="W23" s="1" t="s">
        <v>50</v>
      </c>
      <c r="X23" s="2">
        <f>ABS((F13-F14)/((F13+F14)/2))</f>
        <v>0.59629606219581577</v>
      </c>
    </row>
    <row r="24" spans="1:24" x14ac:dyDescent="0.25">
      <c r="A24" s="1" t="s">
        <v>26</v>
      </c>
      <c r="B24" s="1">
        <v>7</v>
      </c>
      <c r="C24" s="1" t="s">
        <v>6</v>
      </c>
      <c r="D24" s="1">
        <v>26.183</v>
      </c>
      <c r="E24" s="1">
        <v>16.274000000000001</v>
      </c>
      <c r="F24" s="1">
        <v>8.609</v>
      </c>
      <c r="G24" s="1">
        <v>1.212</v>
      </c>
      <c r="H24" s="1">
        <v>8.7999999999999995E-2</v>
      </c>
      <c r="J24" s="13"/>
      <c r="K24" s="2"/>
      <c r="R24" s="4" t="s">
        <v>45</v>
      </c>
      <c r="S24" s="2">
        <f>ABS((F16-F17)/((F16+F17)/2))</f>
        <v>0.21877062078067114</v>
      </c>
      <c r="T24" s="2">
        <f>ABS((F15-F18)/((F15+F18)/2))</f>
        <v>0.49731308411214958</v>
      </c>
      <c r="U24" s="2">
        <f>ABS((F15-F16)/((F15+F16)/2))</f>
        <v>0.6468967652066242</v>
      </c>
      <c r="V24" s="2">
        <f>ABS((F16-F18)/((F16+F18)/2))</f>
        <v>0.16266655457946272</v>
      </c>
      <c r="W24" s="2">
        <f>ABS((F15-F17)/((F15+F17)/2))</f>
        <v>0.83608623548922056</v>
      </c>
      <c r="X24" s="2">
        <f>ABS((F17-F18)/((F17+F18)/2))</f>
        <v>0.3780735810685894</v>
      </c>
    </row>
    <row r="25" spans="1:24" x14ac:dyDescent="0.25">
      <c r="A25" s="1" t="s">
        <v>27</v>
      </c>
      <c r="B25" s="1">
        <v>7</v>
      </c>
      <c r="C25" s="1" t="s">
        <v>6</v>
      </c>
      <c r="D25" s="1">
        <v>15.497</v>
      </c>
      <c r="E25" s="1">
        <v>8.4459999999999997</v>
      </c>
      <c r="F25" s="1">
        <v>5.6619999999999999</v>
      </c>
      <c r="G25" s="1">
        <v>1.3120000000000001</v>
      </c>
      <c r="H25" s="1">
        <v>7.6999999999999999E-2</v>
      </c>
      <c r="J25" s="13"/>
      <c r="K25" s="2"/>
      <c r="R25" s="4" t="s">
        <v>46</v>
      </c>
      <c r="S25" s="2">
        <f>ABS((F20-F21)/((F20+F21)/2))</f>
        <v>0.37327068650482903</v>
      </c>
      <c r="T25" s="2">
        <f>ABS((F19-F22)/((F19+F22)/2))</f>
        <v>0.61400657098391842</v>
      </c>
      <c r="U25" s="2">
        <f>ABS((F19-F20)/((F19+F20)/2))</f>
        <v>3.8403451995684991E-2</v>
      </c>
      <c r="V25" s="2">
        <f>ABS((F20-F22)/((F20+F22)/2))</f>
        <v>0.57901641669325954</v>
      </c>
      <c r="W25" s="2">
        <f>ABS((F19-F21)/((F19+F21)/2))</f>
        <v>0.41020408163265309</v>
      </c>
      <c r="X25" s="2">
        <f>ABS((F21-F22)/((F21+F22)/2))</f>
        <v>0.21749766490237071</v>
      </c>
    </row>
    <row r="26" spans="1:24" x14ac:dyDescent="0.25">
      <c r="A26" s="7" t="s">
        <v>28</v>
      </c>
      <c r="B26" s="7">
        <v>7</v>
      </c>
      <c r="C26" s="7" t="s">
        <v>4</v>
      </c>
      <c r="D26" s="7">
        <v>17.677</v>
      </c>
      <c r="E26" s="7">
        <v>10.255000000000001</v>
      </c>
      <c r="F26" s="7">
        <v>6.2910000000000004</v>
      </c>
      <c r="G26" s="7">
        <v>1.0660000000000001</v>
      </c>
      <c r="H26" s="7">
        <v>6.6000000000000003E-2</v>
      </c>
      <c r="J26" s="13"/>
      <c r="K26" s="2"/>
      <c r="R26" s="4" t="s">
        <v>47</v>
      </c>
      <c r="S26" s="2">
        <f>ABS((F24-F25)/((F24+F25)/2))</f>
        <v>0.41300539555742416</v>
      </c>
      <c r="T26" s="2">
        <f>ABS((F23-F26)/((F23+F26)/2))</f>
        <v>0.18646276826831182</v>
      </c>
      <c r="U26" s="2">
        <f>ABS((F23-F24)/((F23+F24)/2))</f>
        <v>0.49048962175453825</v>
      </c>
      <c r="V26" s="2">
        <f>ABS((F24-F26)/((F24+F26)/2))</f>
        <v>0.31114093959731537</v>
      </c>
      <c r="W26" s="2">
        <f>ABS((F23-F25)/((F23+F25)/2))</f>
        <v>8.1617647058823531E-2</v>
      </c>
      <c r="X26" s="2">
        <f>ABS((F25-F26)/((F25+F26)/2))</f>
        <v>0.1052455450514516</v>
      </c>
    </row>
    <row r="27" spans="1:24" x14ac:dyDescent="0.25">
      <c r="A27" s="1" t="s">
        <v>29</v>
      </c>
      <c r="B27" s="1">
        <v>8</v>
      </c>
      <c r="C27" s="1" t="s">
        <v>4</v>
      </c>
      <c r="D27" s="1">
        <v>25.408999999999999</v>
      </c>
      <c r="E27" s="1">
        <v>13.461</v>
      </c>
      <c r="F27" s="1">
        <v>9.7509999999999994</v>
      </c>
      <c r="G27" s="1">
        <v>2.056</v>
      </c>
      <c r="H27" s="1">
        <v>0.14199999999999999</v>
      </c>
      <c r="J27" s="13"/>
      <c r="K27" s="2"/>
      <c r="R27" s="4" t="s">
        <v>48</v>
      </c>
      <c r="S27" s="1" t="s">
        <v>50</v>
      </c>
      <c r="T27" s="2">
        <f>ABS((F27-F30)/((F27+F30)/2))</f>
        <v>0.31508920471726642</v>
      </c>
      <c r="U27" s="2" t="s">
        <v>50</v>
      </c>
      <c r="V27" s="2" t="s">
        <v>50</v>
      </c>
      <c r="W27" s="2">
        <f>ABS((F27-F29)/((F27+F29)/2))</f>
        <v>0.28259433754568286</v>
      </c>
      <c r="X27" s="2">
        <f>ABS((F29-F30)/((F29+F30)/2))</f>
        <v>3.32346915547461E-2</v>
      </c>
    </row>
    <row r="28" spans="1:24" x14ac:dyDescent="0.25">
      <c r="A28" s="1" t="s">
        <v>30</v>
      </c>
      <c r="B28" s="1">
        <v>8</v>
      </c>
      <c r="C28" s="1" t="s">
        <v>4</v>
      </c>
      <c r="J28" s="13"/>
      <c r="K28" s="2"/>
    </row>
    <row r="29" spans="1:24" x14ac:dyDescent="0.25">
      <c r="A29" s="1" t="s">
        <v>31</v>
      </c>
      <c r="B29" s="1">
        <v>8</v>
      </c>
      <c r="C29" s="1" t="s">
        <v>6</v>
      </c>
      <c r="D29" s="1">
        <v>32.100999999999999</v>
      </c>
      <c r="E29" s="1">
        <v>17.811</v>
      </c>
      <c r="F29" s="1">
        <v>12.96</v>
      </c>
      <c r="G29" s="1">
        <v>1.2490000000000001</v>
      </c>
      <c r="H29" s="1">
        <v>0.08</v>
      </c>
      <c r="K29" s="2"/>
      <c r="R29" s="6" t="s">
        <v>55</v>
      </c>
      <c r="S29" s="3" t="s">
        <v>38</v>
      </c>
      <c r="T29" s="3" t="s">
        <v>37</v>
      </c>
      <c r="U29" s="3" t="s">
        <v>39</v>
      </c>
      <c r="V29" s="3" t="s">
        <v>41</v>
      </c>
      <c r="W29" s="3" t="s">
        <v>40</v>
      </c>
      <c r="X29" s="3" t="s">
        <v>49</v>
      </c>
    </row>
    <row r="30" spans="1:24" x14ac:dyDescent="0.25">
      <c r="A30" s="7" t="s">
        <v>32</v>
      </c>
      <c r="B30" s="7">
        <v>8</v>
      </c>
      <c r="C30" s="7" t="s">
        <v>4</v>
      </c>
      <c r="D30" s="7">
        <v>36.024000000000001</v>
      </c>
      <c r="E30" s="7">
        <v>21.041</v>
      </c>
      <c r="F30" s="7">
        <v>13.398</v>
      </c>
      <c r="G30" s="7">
        <v>1.4830000000000001</v>
      </c>
      <c r="H30" s="7">
        <v>0.10199999999999999</v>
      </c>
      <c r="K30" s="2"/>
      <c r="R30" s="4" t="s">
        <v>42</v>
      </c>
      <c r="S30" s="2">
        <f>ABS((G4-G5)/((G4+G5)/2))</f>
        <v>0.91704498555509673</v>
      </c>
      <c r="T30" s="2">
        <f>ABS((G3-G6)/((G3+G6)/2))</f>
        <v>0.17925478348439075</v>
      </c>
      <c r="U30" s="2">
        <f>ABS((G3-G4)/((G3+G4)/2))</f>
        <v>0.20198422793182408</v>
      </c>
      <c r="V30" s="2">
        <f>ABS((G4-G6)/((G4+G6)/2))</f>
        <v>2.2937062937063019E-2</v>
      </c>
      <c r="W30" s="2">
        <f>ABS((G3-G5)/((G3+G5)/2))</f>
        <v>1.0695035460992908</v>
      </c>
      <c r="X30" s="2">
        <f>ABS((G5-G6)/((G5+G6)/2))</f>
        <v>0.93506493506493515</v>
      </c>
    </row>
    <row r="31" spans="1:24" x14ac:dyDescent="0.25">
      <c r="K31" s="2"/>
      <c r="R31" s="4" t="s">
        <v>43</v>
      </c>
      <c r="S31" s="1" t="s">
        <v>50</v>
      </c>
      <c r="T31" s="1" t="s">
        <v>50</v>
      </c>
      <c r="U31" s="2">
        <f>ABS((G7-G8)/((G7+G8)/2))</f>
        <v>0.36855260168143605</v>
      </c>
      <c r="V31" s="1" t="s">
        <v>50</v>
      </c>
      <c r="W31" s="1" t="s">
        <v>50</v>
      </c>
      <c r="X31" s="1" t="s">
        <v>50</v>
      </c>
    </row>
    <row r="32" spans="1:24" x14ac:dyDescent="0.25">
      <c r="K32" s="2"/>
      <c r="R32" s="4" t="s">
        <v>44</v>
      </c>
      <c r="S32" s="1" t="s">
        <v>50</v>
      </c>
      <c r="T32" s="1" t="s">
        <v>50</v>
      </c>
      <c r="U32" s="1" t="s">
        <v>50</v>
      </c>
      <c r="V32" s="1" t="s">
        <v>50</v>
      </c>
      <c r="W32" s="1" t="s">
        <v>50</v>
      </c>
      <c r="X32" s="2">
        <f>ABS((G13-G14)/((G13+G14)/2))</f>
        <v>0.60489283394674176</v>
      </c>
    </row>
    <row r="33" spans="11:24" x14ac:dyDescent="0.25">
      <c r="K33" s="2"/>
      <c r="R33" s="4" t="s">
        <v>45</v>
      </c>
      <c r="S33" s="2">
        <f>ABS((G16-G17)/((G16+G17)/2))</f>
        <v>0.17188847369933885</v>
      </c>
      <c r="T33" s="2">
        <f>ABS((G15-G18)/((G15+G18)/2))</f>
        <v>0.45332529030312174</v>
      </c>
      <c r="U33" s="2">
        <f>ABS((G15-G16)/((G15+G16)/2))</f>
        <v>0.73136333109469431</v>
      </c>
      <c r="V33" s="2">
        <f>ABS((G16-G18)/((G16+G18)/2))</f>
        <v>0.3031664046710083</v>
      </c>
      <c r="W33" s="2">
        <f>ABS((G15-G17)/((G15+G17)/2))</f>
        <v>0.8757291850804314</v>
      </c>
      <c r="X33" s="2">
        <f>ABS((G17-G18)/((G17+G18)/2))</f>
        <v>0.4689455946076071</v>
      </c>
    </row>
    <row r="34" spans="11:24" x14ac:dyDescent="0.25">
      <c r="K34" s="2"/>
      <c r="R34" s="4" t="s">
        <v>46</v>
      </c>
      <c r="S34" s="2">
        <f>ABS((G20-G21)/((G20+G21)/2))</f>
        <v>0.37196554424432249</v>
      </c>
      <c r="T34" s="2">
        <f>ABS((G19-G22)/((G19+G22)/2))</f>
        <v>0.80680298108159754</v>
      </c>
      <c r="U34" s="2">
        <f>ABS((G19-G20)/((G19+G20)/2))</f>
        <v>0.19191165497686918</v>
      </c>
      <c r="V34" s="2">
        <f>ABS((G20-G22)/((G20+G22)/2))</f>
        <v>0.63965141612200438</v>
      </c>
      <c r="W34" s="2">
        <f>ABS((G19-G21)/((G19+G21)/2))</f>
        <v>0.5539906103286385</v>
      </c>
      <c r="X34" s="2">
        <f>ABS((G21-G22)/((G21+G22)/2))</f>
        <v>0.28461538461538471</v>
      </c>
    </row>
    <row r="35" spans="11:24" x14ac:dyDescent="0.25">
      <c r="K35" s="2"/>
      <c r="R35" s="4" t="s">
        <v>47</v>
      </c>
      <c r="S35" s="2">
        <f>ABS((G24-G25)/((G24+G25)/2))</f>
        <v>7.9239302694136357E-2</v>
      </c>
      <c r="T35" s="2">
        <f>ABS((G23-G26)/((G23+G26)/2))</f>
        <v>0.43935926773455375</v>
      </c>
      <c r="U35" s="2">
        <f>ABS((G23-G24)/((G23+G24)/2))</f>
        <v>0.55966209081309382</v>
      </c>
      <c r="V35" s="2">
        <f>ABS((G24-G26)/((G24+G26)/2))</f>
        <v>0.12818261633011405</v>
      </c>
      <c r="W35" s="2">
        <f>ABS((G23-G25)/((G23+G25)/2))</f>
        <v>0.63189568706118349</v>
      </c>
      <c r="X35" s="2">
        <f>ABS((G25-G26)/((G25+G26)/2))</f>
        <v>0.20689655172413793</v>
      </c>
    </row>
    <row r="36" spans="11:24" x14ac:dyDescent="0.25">
      <c r="K36" s="2"/>
      <c r="R36" s="4" t="s">
        <v>48</v>
      </c>
      <c r="S36" s="1" t="s">
        <v>50</v>
      </c>
      <c r="T36" s="2">
        <f>ABS((G27-G30)/((G27+G30)/2))</f>
        <v>0.32382028821701042</v>
      </c>
      <c r="U36" s="2" t="s">
        <v>50</v>
      </c>
      <c r="V36" s="2" t="s">
        <v>50</v>
      </c>
      <c r="W36" s="2">
        <f>ABS((G27-G29)/((G27+G29)/2))</f>
        <v>0.4883509833585476</v>
      </c>
      <c r="X36" s="2">
        <f>ABS((G29-G30)/((G29+G30)/2))</f>
        <v>0.17130307467057099</v>
      </c>
    </row>
    <row r="37" spans="11:24" x14ac:dyDescent="0.25">
      <c r="K37" s="2"/>
    </row>
    <row r="38" spans="11:24" x14ac:dyDescent="0.25">
      <c r="R38" s="6" t="s">
        <v>56</v>
      </c>
      <c r="S38" s="3" t="s">
        <v>38</v>
      </c>
      <c r="T38" s="3" t="s">
        <v>37</v>
      </c>
      <c r="U38" s="3" t="s">
        <v>39</v>
      </c>
      <c r="V38" s="3" t="s">
        <v>41</v>
      </c>
      <c r="W38" s="3" t="s">
        <v>40</v>
      </c>
      <c r="X38" s="3" t="s">
        <v>49</v>
      </c>
    </row>
    <row r="39" spans="11:24" x14ac:dyDescent="0.25">
      <c r="R39" s="4" t="s">
        <v>42</v>
      </c>
      <c r="S39" s="2">
        <f>ABS((H4-H5)/((H4+H5)/2))</f>
        <v>1.0000000000000002</v>
      </c>
      <c r="T39" s="2">
        <f>ABS((H3-H6)/((H3+H6)/2))</f>
        <v>0.2068965517241379</v>
      </c>
      <c r="U39" s="2">
        <f>ABS((H3-H4)/((H3+H4)/2))</f>
        <v>0.21453287197231832</v>
      </c>
      <c r="V39" s="2">
        <f>ABS((H4-H6)/((H4+H6)/2))</f>
        <v>7.7220077220077283E-3</v>
      </c>
      <c r="W39" s="2">
        <f>ABS((H3-H5)/((H3+H5)/2))</f>
        <v>1.1527093596059113</v>
      </c>
      <c r="X39" s="2">
        <f>ABS((H5-H6)/((H5+H6)/2))</f>
        <v>1.0057803468208095</v>
      </c>
    </row>
    <row r="40" spans="11:24" x14ac:dyDescent="0.25">
      <c r="R40" s="4" t="s">
        <v>43</v>
      </c>
      <c r="S40" s="1" t="s">
        <v>50</v>
      </c>
      <c r="T40" s="1" t="s">
        <v>50</v>
      </c>
      <c r="U40" s="2">
        <f>ABS((H7-H8)/((H7+H8)/2))</f>
        <v>0.4</v>
      </c>
      <c r="V40" s="1" t="s">
        <v>50</v>
      </c>
      <c r="W40" s="1" t="s">
        <v>50</v>
      </c>
      <c r="X40" s="1" t="s">
        <v>50</v>
      </c>
    </row>
    <row r="41" spans="11:24" x14ac:dyDescent="0.25">
      <c r="R41" s="4" t="s">
        <v>44</v>
      </c>
      <c r="S41" s="1" t="s">
        <v>50</v>
      </c>
      <c r="T41" s="1" t="s">
        <v>50</v>
      </c>
      <c r="U41" s="1" t="s">
        <v>50</v>
      </c>
      <c r="V41" s="1" t="s">
        <v>50</v>
      </c>
      <c r="W41" s="1" t="s">
        <v>50</v>
      </c>
      <c r="X41" s="2">
        <f>ABS((H13-H14)/((H13+H14)/2))</f>
        <v>0.63276836158192107</v>
      </c>
    </row>
    <row r="42" spans="11:24" x14ac:dyDescent="0.25">
      <c r="R42" s="4" t="s">
        <v>45</v>
      </c>
      <c r="S42" s="2">
        <f>ABS((H16-H17)/((H16+H17)/2))</f>
        <v>0.29019607843137246</v>
      </c>
      <c r="T42" s="2">
        <f>ABS((H15-H18)/((H15+H18)/2))</f>
        <v>0.3720073664825046</v>
      </c>
      <c r="U42" s="2">
        <f>ABS((H15-H16)/((H15+H16)/2))</f>
        <v>0.75213675213675224</v>
      </c>
      <c r="V42" s="2">
        <f>ABS((H16-H18)/((H16+H18)/2))</f>
        <v>0.40871934604904642</v>
      </c>
      <c r="W42" s="2">
        <f>ABS((H15-H17)/((H15+H17)/2))</f>
        <v>0.98839907192575416</v>
      </c>
      <c r="X42" s="2">
        <f>ABS((H17-H18)/((H17+H18)/2))</f>
        <v>0.67878787878787872</v>
      </c>
    </row>
    <row r="43" spans="11:24" x14ac:dyDescent="0.25">
      <c r="R43" s="4" t="s">
        <v>46</v>
      </c>
      <c r="S43" s="2">
        <f>ABS((H20-H21)/((H20+H21)/2))</f>
        <v>0.39622641509433953</v>
      </c>
      <c r="T43" s="2">
        <f>ABS((H19-H22)/((H19+H22)/2))</f>
        <v>0.9017857142857143</v>
      </c>
      <c r="U43" s="2">
        <f>ABS((H19-H20)/((H19+H20)/2))</f>
        <v>0.24525043177892925</v>
      </c>
      <c r="V43" s="2">
        <f>ABS((H20-H22)/((H20+H22)/2))</f>
        <v>0.69496021220159154</v>
      </c>
      <c r="W43" s="2">
        <f>ABS((H19-H21)/((H19+H21)/2))</f>
        <v>0.6262626262626263</v>
      </c>
      <c r="X43" s="2">
        <f>ABS((H21-H22)/((H21+H22)/2))</f>
        <v>0.3208191126279864</v>
      </c>
    </row>
    <row r="44" spans="11:24" x14ac:dyDescent="0.25">
      <c r="R44" s="4" t="s">
        <v>47</v>
      </c>
      <c r="S44" s="2">
        <f>ABS((H24-H25)/((H24+H25)/2))</f>
        <v>0.1333333333333333</v>
      </c>
      <c r="T44" s="2">
        <f>ABS((H23-H26)/((H23+H26)/2))</f>
        <v>0.44444444444444442</v>
      </c>
      <c r="U44" s="2">
        <f>ABS((H23-H24)/((H23+H24)/2))</f>
        <v>0.70769230769230751</v>
      </c>
      <c r="V44" s="2">
        <f>ABS((H24-H26)/((H24+H26)/2))</f>
        <v>0.28571428571428559</v>
      </c>
      <c r="W44" s="2">
        <f>ABS((H23-H25)/((H23+H25)/2))</f>
        <v>0.58823529411764708</v>
      </c>
      <c r="X44" s="2">
        <f>ABS((H25-H26)/((H25+H26)/2))</f>
        <v>0.15384615384615377</v>
      </c>
    </row>
    <row r="45" spans="11:24" x14ac:dyDescent="0.25">
      <c r="R45" s="4" t="s">
        <v>48</v>
      </c>
      <c r="S45" s="1" t="s">
        <v>50</v>
      </c>
      <c r="T45" s="2">
        <f>ABS((H27-H30)/((H27+H30)/2))</f>
        <v>0.32786885245901637</v>
      </c>
      <c r="U45" s="2" t="s">
        <v>50</v>
      </c>
      <c r="V45" s="2" t="s">
        <v>50</v>
      </c>
      <c r="W45" s="2">
        <f>ABS((H27-H29)/((H27+H29)/2))</f>
        <v>0.55855855855855852</v>
      </c>
      <c r="X45" s="2">
        <f>ABS((H29-H30)/((H29+H30)/2))</f>
        <v>0.24175824175824168</v>
      </c>
    </row>
    <row r="123" spans="3:3" x14ac:dyDescent="0.25">
      <c r="C12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9220-859F-4DEA-AE8B-73A2E62C23F3}">
  <dimension ref="A1:P123"/>
  <sheetViews>
    <sheetView topLeftCell="E19" workbookViewId="0">
      <selection activeCell="P44" activeCellId="3" sqref="P39 P42:P43 P45 P44"/>
    </sheetView>
  </sheetViews>
  <sheetFormatPr defaultRowHeight="15" x14ac:dyDescent="0.25"/>
  <cols>
    <col min="1" max="1" width="9.140625" style="1"/>
    <col min="2" max="2" width="12.85546875" style="1" customWidth="1"/>
    <col min="3" max="3" width="13.7109375" style="1" customWidth="1"/>
    <col min="4" max="9" width="9.140625" style="1"/>
    <col min="10" max="10" width="20.85546875" customWidth="1"/>
  </cols>
  <sheetData>
    <row r="1" spans="1:16" ht="15" customHeight="1" x14ac:dyDescent="0.25">
      <c r="J1" s="5" t="s">
        <v>51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35</v>
      </c>
      <c r="P1" s="1" t="s">
        <v>36</v>
      </c>
    </row>
    <row r="2" spans="1:16" x14ac:dyDescent="0.25">
      <c r="A2" s="7" t="s">
        <v>0</v>
      </c>
      <c r="B2" s="7" t="s">
        <v>62</v>
      </c>
      <c r="C2" s="7" t="s">
        <v>1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J2" s="6" t="s">
        <v>52</v>
      </c>
      <c r="K2" s="3" t="s">
        <v>38</v>
      </c>
      <c r="L2" s="3" t="s">
        <v>37</v>
      </c>
      <c r="M2" s="3" t="s">
        <v>39</v>
      </c>
      <c r="N2" s="3" t="s">
        <v>41</v>
      </c>
      <c r="O2" s="3" t="s">
        <v>40</v>
      </c>
      <c r="P2" s="3" t="s">
        <v>49</v>
      </c>
    </row>
    <row r="3" spans="1:16" x14ac:dyDescent="0.25">
      <c r="A3" s="1" t="s">
        <v>3</v>
      </c>
      <c r="B3" s="1">
        <v>1</v>
      </c>
      <c r="C3" s="1" t="s">
        <v>4</v>
      </c>
      <c r="D3" s="8">
        <v>13.111000000000001</v>
      </c>
      <c r="E3" s="8">
        <v>1.585</v>
      </c>
      <c r="F3" s="8">
        <v>7.5289999999999999</v>
      </c>
      <c r="G3" s="8">
        <v>3.7930000000000001</v>
      </c>
      <c r="H3" s="8">
        <v>0.20300000000000001</v>
      </c>
      <c r="J3" s="4" t="s">
        <v>42</v>
      </c>
      <c r="K3" s="2">
        <f>ABS((D4-D5)/((D4+D5)/2))</f>
        <v>0.32784596591239612</v>
      </c>
      <c r="L3" s="2">
        <f>ABS((D3-D6)/((D3+D6)/2))</f>
        <v>0.17826881541784356</v>
      </c>
      <c r="M3" s="2">
        <f>ABS((D3-D4)/((D3+D4)/2))</f>
        <v>9.1835249599767035E-2</v>
      </c>
      <c r="N3" s="2">
        <f>ABS((D4-D6)/((D4+D6)/2))</f>
        <v>0.2690030783802983</v>
      </c>
      <c r="O3" s="2">
        <f>ABS((D3-D5)/((D3+D5)/2))</f>
        <v>0.41654589371980671</v>
      </c>
      <c r="P3" s="2">
        <f>ABS((D5-D6)/((D5+D6)/2))</f>
        <v>0.58397365532381995</v>
      </c>
    </row>
    <row r="4" spans="1:16" x14ac:dyDescent="0.25">
      <c r="A4" s="1" t="s">
        <v>5</v>
      </c>
      <c r="B4" s="1">
        <v>1</v>
      </c>
      <c r="C4" s="1" t="s">
        <v>6</v>
      </c>
      <c r="D4" s="9">
        <v>14.372999999999999</v>
      </c>
      <c r="E4" s="9">
        <v>0.98799999999999999</v>
      </c>
      <c r="F4" s="9">
        <v>8.8130000000000006</v>
      </c>
      <c r="G4" s="9">
        <v>4.3319999999999999</v>
      </c>
      <c r="H4" s="9">
        <v>0.24</v>
      </c>
      <c r="J4" s="4" t="s">
        <v>43</v>
      </c>
      <c r="K4" s="1" t="s">
        <v>50</v>
      </c>
      <c r="L4" s="1" t="s">
        <v>50</v>
      </c>
      <c r="M4" s="2" t="s">
        <v>50</v>
      </c>
      <c r="N4" s="1" t="s">
        <v>50</v>
      </c>
      <c r="O4" s="1" t="s">
        <v>50</v>
      </c>
      <c r="P4" s="1" t="s">
        <v>50</v>
      </c>
    </row>
    <row r="5" spans="1:16" x14ac:dyDescent="0.25">
      <c r="A5" s="1" t="s">
        <v>7</v>
      </c>
      <c r="B5" s="1">
        <v>1</v>
      </c>
      <c r="C5" s="1" t="s">
        <v>6</v>
      </c>
      <c r="D5" s="9">
        <v>20.009</v>
      </c>
      <c r="E5" s="9">
        <v>1.84</v>
      </c>
      <c r="F5" s="9">
        <v>11.35</v>
      </c>
      <c r="G5" s="9">
        <v>6.4580000000000002</v>
      </c>
      <c r="H5" s="9">
        <v>0.36099999999999999</v>
      </c>
      <c r="J5" s="4" t="s">
        <v>44</v>
      </c>
      <c r="K5" s="1" t="s">
        <v>50</v>
      </c>
      <c r="L5" s="1" t="s">
        <v>50</v>
      </c>
      <c r="M5" s="1" t="s">
        <v>50</v>
      </c>
      <c r="N5" s="1" t="s">
        <v>50</v>
      </c>
      <c r="O5" s="1" t="s">
        <v>50</v>
      </c>
      <c r="P5" s="2" t="s">
        <v>50</v>
      </c>
    </row>
    <row r="6" spans="1:16" x14ac:dyDescent="0.25">
      <c r="A6" s="7" t="s">
        <v>8</v>
      </c>
      <c r="B6" s="7">
        <v>1</v>
      </c>
      <c r="C6" s="7" t="s">
        <v>4</v>
      </c>
      <c r="D6" s="10">
        <v>10.965</v>
      </c>
      <c r="E6" s="10">
        <v>0.69699999999999995</v>
      </c>
      <c r="F6" s="10">
        <v>5.7779999999999996</v>
      </c>
      <c r="G6" s="10">
        <v>4.2430000000000003</v>
      </c>
      <c r="H6" s="10">
        <v>0.248</v>
      </c>
      <c r="J6" s="4" t="s">
        <v>45</v>
      </c>
      <c r="K6" s="2">
        <f>ABS((D16-D17)/((D16+D17)/2))</f>
        <v>0.20176861173158722</v>
      </c>
      <c r="L6" s="2">
        <f>ABS((D15-D18)/((D15+D18)/2))</f>
        <v>0.17588870319345945</v>
      </c>
      <c r="M6" s="2">
        <f>ABS((D15-D16)/((D15+D16)/2))</f>
        <v>0.28981580510992261</v>
      </c>
      <c r="N6" s="2">
        <f>ABS((D16-D18)/((D16+D18)/2))</f>
        <v>0.11539771090332886</v>
      </c>
      <c r="O6" s="2">
        <f>ABS((D15-D17)/((D15+D17)/2))</f>
        <v>0.4845015214812522</v>
      </c>
      <c r="P6" s="2">
        <f>ABS((D17-D18)/((D17+D18)/2))</f>
        <v>0.31533081068684782</v>
      </c>
    </row>
    <row r="7" spans="1:16" x14ac:dyDescent="0.25">
      <c r="A7" s="1" t="s">
        <v>9</v>
      </c>
      <c r="B7" s="1">
        <v>2</v>
      </c>
      <c r="C7" s="1" t="s">
        <v>4</v>
      </c>
      <c r="D7" s="9"/>
      <c r="E7" s="9"/>
      <c r="F7" s="9"/>
      <c r="G7" s="9"/>
      <c r="H7" s="9"/>
      <c r="J7" s="4" t="s">
        <v>46</v>
      </c>
      <c r="K7" s="2">
        <f>ABS((D20-D21)/((D20+D21)/2))</f>
        <v>0.62963433214829867</v>
      </c>
      <c r="L7" s="2" t="s">
        <v>50</v>
      </c>
      <c r="M7" s="2" t="s">
        <v>50</v>
      </c>
      <c r="N7" s="2">
        <f>ABS((D20-D22)/((D20+D22)/2))</f>
        <v>0.20476380572188943</v>
      </c>
      <c r="O7" s="2" t="s">
        <v>50</v>
      </c>
      <c r="P7" s="2">
        <f>ABS((D21-D22)/((D21+D22)/2))</f>
        <v>0.43902086271106783</v>
      </c>
    </row>
    <row r="8" spans="1:16" x14ac:dyDescent="0.25">
      <c r="A8" s="1" t="s">
        <v>10</v>
      </c>
      <c r="B8" s="1">
        <v>2</v>
      </c>
      <c r="C8" s="1" t="s">
        <v>6</v>
      </c>
      <c r="D8" s="9">
        <v>17.13</v>
      </c>
      <c r="E8" s="9">
        <v>6.3090000000000002</v>
      </c>
      <c r="F8" s="9">
        <v>6.6130000000000004</v>
      </c>
      <c r="G8" s="9">
        <v>3.9740000000000002</v>
      </c>
      <c r="H8" s="9">
        <v>0.23499999999999999</v>
      </c>
      <c r="J8" s="4" t="s">
        <v>47</v>
      </c>
      <c r="K8" s="2">
        <f>ABS((D24-D25)/((D24+D25)/2))</f>
        <v>0.12983918999404406</v>
      </c>
      <c r="L8" s="2">
        <f>ABS((D23-D26)/((D23+D26)/2))</f>
        <v>1.4427941896523589E-2</v>
      </c>
      <c r="M8" s="2">
        <f>ABS((D23-D24)/((D23+D24)/2))</f>
        <v>5.9200789343860161E-4</v>
      </c>
      <c r="N8" s="2">
        <f>ABS((D24-D26)/((D24+D26)/2))</f>
        <v>1.5019917716972534E-2</v>
      </c>
      <c r="O8" s="2">
        <f>ABS((D23-D25)/((D23+D25)/2))</f>
        <v>0.13042869151022696</v>
      </c>
      <c r="P8" s="2">
        <f>ABS((D25-D26)/((D25+D26)/2))</f>
        <v>0.14478851701247697</v>
      </c>
    </row>
    <row r="9" spans="1:16" x14ac:dyDescent="0.25">
      <c r="A9" s="1" t="s">
        <v>11</v>
      </c>
      <c r="B9" s="1">
        <v>2</v>
      </c>
      <c r="C9" s="1" t="s">
        <v>6</v>
      </c>
      <c r="D9" s="9"/>
      <c r="E9" s="9"/>
      <c r="F9" s="9"/>
      <c r="G9" s="9"/>
      <c r="H9" s="9"/>
      <c r="J9" s="4" t="s">
        <v>48</v>
      </c>
      <c r="K9" s="1" t="s">
        <v>50</v>
      </c>
      <c r="L9" s="2">
        <f>ABS((D27-D30)/((D27+D30)/2))</f>
        <v>0.12841091492776888</v>
      </c>
      <c r="M9" s="2" t="s">
        <v>50</v>
      </c>
      <c r="N9" s="2" t="s">
        <v>50</v>
      </c>
      <c r="O9" s="2">
        <f>ABS((D27-D29)/((D27+D29)/2))</f>
        <v>4.0233188274899384E-2</v>
      </c>
      <c r="P9" s="2">
        <f>ABS((D29-D30)/((D29+D30)/2))</f>
        <v>0.16842656427262415</v>
      </c>
    </row>
    <row r="10" spans="1:16" x14ac:dyDescent="0.25">
      <c r="A10" s="7" t="s">
        <v>12</v>
      </c>
      <c r="B10" s="7">
        <v>2</v>
      </c>
      <c r="C10" s="7" t="s">
        <v>4</v>
      </c>
      <c r="D10" s="10"/>
      <c r="E10" s="10"/>
      <c r="F10" s="10"/>
      <c r="G10" s="10"/>
      <c r="H10" s="10"/>
    </row>
    <row r="11" spans="1:16" x14ac:dyDescent="0.25">
      <c r="A11" s="1" t="s">
        <v>13</v>
      </c>
      <c r="B11" s="1">
        <v>3</v>
      </c>
      <c r="C11" s="1" t="s">
        <v>4</v>
      </c>
      <c r="D11" s="8"/>
      <c r="E11" s="8"/>
      <c r="F11" s="8"/>
      <c r="G11" s="8"/>
      <c r="H11" s="8"/>
      <c r="J11" s="6" t="s">
        <v>53</v>
      </c>
      <c r="K11" s="3" t="s">
        <v>38</v>
      </c>
      <c r="L11" s="3" t="s">
        <v>37</v>
      </c>
      <c r="M11" s="3" t="s">
        <v>39</v>
      </c>
      <c r="N11" s="3" t="s">
        <v>41</v>
      </c>
      <c r="O11" s="3" t="s">
        <v>40</v>
      </c>
      <c r="P11" s="3" t="s">
        <v>49</v>
      </c>
    </row>
    <row r="12" spans="1:16" x14ac:dyDescent="0.25">
      <c r="A12" s="1" t="s">
        <v>14</v>
      </c>
      <c r="B12" s="1">
        <v>3</v>
      </c>
      <c r="C12" s="1" t="s">
        <v>6</v>
      </c>
      <c r="D12" s="9"/>
      <c r="E12" s="9"/>
      <c r="F12" s="9"/>
      <c r="G12" s="9"/>
      <c r="H12" s="9"/>
      <c r="J12" s="4" t="s">
        <v>42</v>
      </c>
      <c r="K12" s="2">
        <f>ABS((E4-E5)/((E4+E5)/2))</f>
        <v>0.60254596888260259</v>
      </c>
      <c r="L12" s="2">
        <f>ABS((E3-E6)/((E3+E6)/2))</f>
        <v>0.77826468010517091</v>
      </c>
      <c r="M12" s="2">
        <f>ABS((E3-E4)/((E3+E4)/2))</f>
        <v>0.46404974737660315</v>
      </c>
      <c r="N12" s="2">
        <f>ABS((E4-E6)/((E4+E6)/2))</f>
        <v>0.34540059347181012</v>
      </c>
      <c r="O12" s="2">
        <f>ABS((E3-E5)/((E3+E5)/2))</f>
        <v>0.14890510948905117</v>
      </c>
      <c r="P12" s="2">
        <f>ABS((E5-E6)/((E5+E6)/2))</f>
        <v>0.90106424911312599</v>
      </c>
    </row>
    <row r="13" spans="1:16" x14ac:dyDescent="0.25">
      <c r="A13" s="1" t="s">
        <v>15</v>
      </c>
      <c r="B13" s="1">
        <v>3</v>
      </c>
      <c r="C13" s="1" t="s">
        <v>6</v>
      </c>
      <c r="D13" s="9"/>
      <c r="E13" s="9"/>
      <c r="F13" s="9"/>
      <c r="G13" s="9"/>
      <c r="H13" s="9"/>
      <c r="J13" s="4" t="s">
        <v>43</v>
      </c>
      <c r="K13" s="1" t="s">
        <v>50</v>
      </c>
      <c r="L13" s="1" t="s">
        <v>50</v>
      </c>
      <c r="M13" s="2" t="s">
        <v>50</v>
      </c>
      <c r="N13" s="1" t="s">
        <v>50</v>
      </c>
      <c r="O13" s="1" t="s">
        <v>50</v>
      </c>
      <c r="P13" s="1" t="s">
        <v>50</v>
      </c>
    </row>
    <row r="14" spans="1:16" x14ac:dyDescent="0.25">
      <c r="A14" s="7" t="s">
        <v>16</v>
      </c>
      <c r="B14" s="7">
        <v>3</v>
      </c>
      <c r="C14" s="7" t="s">
        <v>4</v>
      </c>
      <c r="D14" s="10">
        <v>5.6020000000000003</v>
      </c>
      <c r="E14" s="10">
        <v>0.54500000000000004</v>
      </c>
      <c r="F14" s="10">
        <v>3.1219999999999999</v>
      </c>
      <c r="G14" s="10">
        <v>1.8220000000000001</v>
      </c>
      <c r="H14" s="10">
        <v>0.114</v>
      </c>
      <c r="J14" s="4" t="s">
        <v>44</v>
      </c>
      <c r="K14" s="1" t="s">
        <v>50</v>
      </c>
      <c r="L14" s="1" t="s">
        <v>50</v>
      </c>
      <c r="M14" s="1" t="s">
        <v>50</v>
      </c>
      <c r="N14" s="1" t="s">
        <v>50</v>
      </c>
      <c r="O14" s="1" t="s">
        <v>50</v>
      </c>
      <c r="P14" s="2"/>
    </row>
    <row r="15" spans="1:16" x14ac:dyDescent="0.25">
      <c r="A15" s="1" t="s">
        <v>17</v>
      </c>
      <c r="B15" s="1">
        <v>5</v>
      </c>
      <c r="C15" s="1" t="s">
        <v>4</v>
      </c>
      <c r="D15" s="8">
        <v>24.085999999999999</v>
      </c>
      <c r="E15" s="8">
        <v>6.3570000000000002</v>
      </c>
      <c r="F15" s="8">
        <v>10.204000000000001</v>
      </c>
      <c r="G15" s="8">
        <v>7.0650000000000004</v>
      </c>
      <c r="H15" s="8">
        <v>0.45900000000000002</v>
      </c>
      <c r="J15" s="4" t="s">
        <v>45</v>
      </c>
      <c r="K15" s="2">
        <f>ABS((E16-E17)/((E16+E17)/2))</f>
        <v>0.3228283474644057</v>
      </c>
      <c r="L15" s="2">
        <f>ABS((E15-E18)/((E15+E18)/2))</f>
        <v>1.5743073047858607E-3</v>
      </c>
      <c r="M15" s="2">
        <f>ABS((E15-E16)/((E15+E16)/2))</f>
        <v>0.54610994292580362</v>
      </c>
      <c r="N15" s="2">
        <f>ABS((E16-E18)/((E16+E18)/2))</f>
        <v>0.54465270121278953</v>
      </c>
      <c r="O15" s="2">
        <f>ABS((E15-E17)/((E15+E17)/2))</f>
        <v>0.8322566273112052</v>
      </c>
      <c r="P15" s="2">
        <f>ABS((E17-E18)/((E17+E18)/2))</f>
        <v>0.83095450490633371</v>
      </c>
    </row>
    <row r="16" spans="1:16" x14ac:dyDescent="0.25">
      <c r="A16" s="1" t="s">
        <v>18</v>
      </c>
      <c r="B16" s="1">
        <v>5</v>
      </c>
      <c r="C16" s="1" t="s">
        <v>6</v>
      </c>
      <c r="D16" s="9">
        <v>17.989000000000001</v>
      </c>
      <c r="E16" s="9">
        <v>3.63</v>
      </c>
      <c r="F16" s="9">
        <v>8.4920000000000009</v>
      </c>
      <c r="G16" s="9">
        <v>5.5060000000000002</v>
      </c>
      <c r="H16" s="9">
        <v>0.36099999999999999</v>
      </c>
      <c r="J16" s="4" t="s">
        <v>46</v>
      </c>
      <c r="K16" s="2">
        <f>ABS((E20-E21)/((E20+E21)/2))</f>
        <v>1.2677366829495231</v>
      </c>
      <c r="L16" s="2" t="s">
        <v>50</v>
      </c>
      <c r="M16" s="2" t="s">
        <v>50</v>
      </c>
      <c r="N16" s="2">
        <f>ABS((E20-E22)/((E20+E22)/2))</f>
        <v>0.56945010183299383</v>
      </c>
      <c r="O16" s="2" t="s">
        <v>50</v>
      </c>
      <c r="P16" s="2">
        <f>ABS((E21-E22)/((E21+E22)/2))</f>
        <v>1.5563072586328401</v>
      </c>
    </row>
    <row r="17" spans="1:16" x14ac:dyDescent="0.25">
      <c r="A17" s="1" t="s">
        <v>19</v>
      </c>
      <c r="B17" s="1">
        <v>5</v>
      </c>
      <c r="C17" s="1" t="s">
        <v>6</v>
      </c>
      <c r="D17" s="9">
        <v>14.692</v>
      </c>
      <c r="E17" s="9">
        <v>2.621</v>
      </c>
      <c r="F17" s="9">
        <v>5.7619999999999996</v>
      </c>
      <c r="G17" s="9">
        <v>5.84</v>
      </c>
      <c r="H17" s="9">
        <v>0.46899999999999997</v>
      </c>
      <c r="J17" s="4" t="s">
        <v>47</v>
      </c>
      <c r="K17" s="2">
        <f>ABS((E24-E25)/((E24+E25)/2))</f>
        <v>0.70927318295739339</v>
      </c>
      <c r="L17" s="2">
        <f>ABS((E23-E26)/((E23+E26)/2))</f>
        <v>0.83216308040770104</v>
      </c>
      <c r="M17" s="2">
        <f>ABS((E23-E24)/((E23+E24)/2))</f>
        <v>0.97218920846208701</v>
      </c>
      <c r="N17" s="2">
        <f>ABS((E24-E26)/((E24+E26)/2))</f>
        <v>0.17552742616033751</v>
      </c>
      <c r="O17" s="2">
        <f>ABS((E23-E25)/((E23+E25)/2))</f>
        <v>1.4342213677561109</v>
      </c>
      <c r="P17" s="2">
        <f>ABS((E25-E26)/((E25+E26)/2))</f>
        <v>0.85809312638580926</v>
      </c>
    </row>
    <row r="18" spans="1:16" x14ac:dyDescent="0.25">
      <c r="A18" s="7" t="s">
        <v>20</v>
      </c>
      <c r="B18" s="7">
        <v>5</v>
      </c>
      <c r="C18" s="7" t="s">
        <v>4</v>
      </c>
      <c r="D18" s="10">
        <v>20.192</v>
      </c>
      <c r="E18" s="10">
        <v>6.3470000000000004</v>
      </c>
      <c r="F18" s="10">
        <v>8.234</v>
      </c>
      <c r="G18" s="10">
        <v>5.0780000000000003</v>
      </c>
      <c r="H18" s="10">
        <v>0.53400000000000003</v>
      </c>
      <c r="J18" s="4" t="s">
        <v>48</v>
      </c>
      <c r="K18" s="1" t="s">
        <v>50</v>
      </c>
      <c r="L18" s="2">
        <f>ABS((E27-E30)/((E27+E30)/2))</f>
        <v>1.35599843688941</v>
      </c>
      <c r="M18" s="2" t="s">
        <v>50</v>
      </c>
      <c r="N18" s="2" t="s">
        <v>50</v>
      </c>
      <c r="O18" s="2">
        <f>ABS((E27-E29)/((E27+E29)/2))</f>
        <v>1.1168274383708467</v>
      </c>
      <c r="P18" s="2">
        <f>ABS((E29-E30)/((E29+E30)/2))</f>
        <v>0.38489308525409599</v>
      </c>
    </row>
    <row r="19" spans="1:16" x14ac:dyDescent="0.25">
      <c r="A19" s="1" t="s">
        <v>21</v>
      </c>
      <c r="B19" s="1">
        <v>6</v>
      </c>
      <c r="C19" s="1" t="s">
        <v>4</v>
      </c>
      <c r="D19" s="8"/>
      <c r="E19" s="8"/>
      <c r="F19" s="8"/>
      <c r="G19" s="8"/>
      <c r="H19" s="8"/>
      <c r="J19" s="1"/>
    </row>
    <row r="20" spans="1:16" x14ac:dyDescent="0.25">
      <c r="A20" s="1" t="s">
        <v>22</v>
      </c>
      <c r="B20" s="1">
        <v>6</v>
      </c>
      <c r="C20" s="1" t="s">
        <v>6</v>
      </c>
      <c r="D20" s="9">
        <v>20.710999999999999</v>
      </c>
      <c r="E20" s="9">
        <v>3.512</v>
      </c>
      <c r="F20" s="9">
        <v>11.093999999999999</v>
      </c>
      <c r="G20" s="9">
        <v>5.7130000000000001</v>
      </c>
      <c r="H20" s="9">
        <v>0.39200000000000002</v>
      </c>
      <c r="J20" s="6" t="s">
        <v>54</v>
      </c>
      <c r="K20" s="3" t="s">
        <v>38</v>
      </c>
      <c r="L20" s="3" t="s">
        <v>37</v>
      </c>
      <c r="M20" s="3" t="s">
        <v>39</v>
      </c>
      <c r="N20" s="3" t="s">
        <v>41</v>
      </c>
      <c r="O20" s="3" t="s">
        <v>40</v>
      </c>
      <c r="P20" s="3" t="s">
        <v>49</v>
      </c>
    </row>
    <row r="21" spans="1:16" x14ac:dyDescent="0.25">
      <c r="A21" s="1" t="s">
        <v>23</v>
      </c>
      <c r="B21" s="1">
        <v>6</v>
      </c>
      <c r="C21" s="1" t="s">
        <v>6</v>
      </c>
      <c r="D21" s="9">
        <v>10.792999999999999</v>
      </c>
      <c r="E21" s="9">
        <v>0.78700000000000003</v>
      </c>
      <c r="F21" s="9">
        <v>5.5739999999999998</v>
      </c>
      <c r="G21" s="9">
        <v>4.1520000000000001</v>
      </c>
      <c r="H21" s="9">
        <v>0.28000000000000003</v>
      </c>
      <c r="J21" s="4" t="s">
        <v>42</v>
      </c>
      <c r="K21" s="2">
        <f>ABS((F4-F5)/((F4+F5)/2))</f>
        <v>0.25164906015969835</v>
      </c>
      <c r="L21" s="2">
        <f>ABS((F3-F6)/((F3+F6)/2))</f>
        <v>0.26316976027654626</v>
      </c>
      <c r="M21" s="2">
        <f>ABS((F3-F4)/((F3+F4)/2))</f>
        <v>0.15714110879941265</v>
      </c>
      <c r="N21" s="2">
        <f>ABS((F4-F6)/((F4+F6)/2))</f>
        <v>0.41600986909738891</v>
      </c>
      <c r="O21" s="2">
        <f>ABS((F3-F5)/((F3+F5)/2))</f>
        <v>0.40478838921553051</v>
      </c>
      <c r="P21" s="2">
        <f>ABS((F5-F6)/((F5+F6)/2))</f>
        <v>0.65063054647361052</v>
      </c>
    </row>
    <row r="22" spans="1:16" x14ac:dyDescent="0.25">
      <c r="A22" s="7" t="s">
        <v>24</v>
      </c>
      <c r="B22" s="7">
        <v>6</v>
      </c>
      <c r="C22" s="7" t="s">
        <v>4</v>
      </c>
      <c r="D22" s="10">
        <v>16.864000000000001</v>
      </c>
      <c r="E22" s="10">
        <v>6.3079999999999998</v>
      </c>
      <c r="F22" s="10">
        <v>6.8239999999999998</v>
      </c>
      <c r="G22" s="10">
        <v>3.4969999999999999</v>
      </c>
      <c r="H22" s="10">
        <v>0.23499999999999999</v>
      </c>
      <c r="J22" s="4" t="s">
        <v>43</v>
      </c>
      <c r="K22" s="1" t="s">
        <v>50</v>
      </c>
      <c r="L22" s="1" t="s">
        <v>50</v>
      </c>
      <c r="M22" s="2" t="s">
        <v>50</v>
      </c>
      <c r="N22" s="1" t="s">
        <v>50</v>
      </c>
      <c r="O22" s="1" t="s">
        <v>50</v>
      </c>
      <c r="P22" s="1" t="s">
        <v>50</v>
      </c>
    </row>
    <row r="23" spans="1:16" x14ac:dyDescent="0.25">
      <c r="A23" s="1" t="s">
        <v>25</v>
      </c>
      <c r="B23" s="1">
        <v>7</v>
      </c>
      <c r="C23" s="1" t="s">
        <v>4</v>
      </c>
      <c r="D23" s="8">
        <v>15.207000000000001</v>
      </c>
      <c r="E23" s="8">
        <v>3.1259999999999999</v>
      </c>
      <c r="F23" s="8">
        <v>7.5090000000000003</v>
      </c>
      <c r="G23" s="8">
        <v>4.2939999999999996</v>
      </c>
      <c r="H23" s="8">
        <v>0.27800000000000002</v>
      </c>
      <c r="J23" s="4" t="s">
        <v>44</v>
      </c>
      <c r="K23" s="1" t="s">
        <v>50</v>
      </c>
      <c r="L23" s="1" t="s">
        <v>50</v>
      </c>
      <c r="M23" s="1" t="s">
        <v>50</v>
      </c>
      <c r="N23" s="1" t="s">
        <v>50</v>
      </c>
      <c r="O23" s="1" t="s">
        <v>50</v>
      </c>
      <c r="P23" s="2" t="s">
        <v>50</v>
      </c>
    </row>
    <row r="24" spans="1:16" x14ac:dyDescent="0.25">
      <c r="A24" s="1" t="s">
        <v>26</v>
      </c>
      <c r="B24" s="1">
        <v>7</v>
      </c>
      <c r="C24" s="1" t="s">
        <v>6</v>
      </c>
      <c r="D24" s="9">
        <v>15.198</v>
      </c>
      <c r="E24" s="9">
        <v>1.081</v>
      </c>
      <c r="F24" s="9">
        <v>8.8879999999999999</v>
      </c>
      <c r="G24" s="9">
        <v>4.9320000000000004</v>
      </c>
      <c r="H24" s="9">
        <v>0.29699999999999999</v>
      </c>
      <c r="J24" s="4" t="s">
        <v>45</v>
      </c>
      <c r="K24" s="2">
        <f>ABS((F16-F17)/((F16+F17)/2))</f>
        <v>0.38305037182545265</v>
      </c>
      <c r="L24" s="2">
        <f>ABS((F15-F18)/((F15+F18)/2))</f>
        <v>0.21368912029504289</v>
      </c>
      <c r="M24" s="2">
        <f>ABS((F15-F16)/((F15+F16)/2))</f>
        <v>0.18314077877620877</v>
      </c>
      <c r="N24" s="2">
        <f>ABS((F16-F18)/((F16+F18)/2))</f>
        <v>3.0850173382757494E-2</v>
      </c>
      <c r="O24" s="2">
        <f>ABS((F15-F17)/((F15+F17)/2))</f>
        <v>0.55643241889014161</v>
      </c>
      <c r="P24" s="2">
        <f>ABS((F17-F18)/((F17+F18)/2))</f>
        <v>0.35324378393826816</v>
      </c>
    </row>
    <row r="25" spans="1:16" x14ac:dyDescent="0.25">
      <c r="A25" s="1" t="s">
        <v>27</v>
      </c>
      <c r="B25" s="1">
        <v>7</v>
      </c>
      <c r="C25" s="1" t="s">
        <v>6</v>
      </c>
      <c r="D25" s="9">
        <v>13.345000000000001</v>
      </c>
      <c r="E25" s="9">
        <v>0.51500000000000001</v>
      </c>
      <c r="F25" s="9">
        <v>6.32</v>
      </c>
      <c r="G25" s="9">
        <v>6.04</v>
      </c>
      <c r="H25" s="9">
        <v>0.47</v>
      </c>
      <c r="J25" s="4" t="s">
        <v>46</v>
      </c>
      <c r="K25" s="2">
        <f>ABS((F20-F21)/((F20+F21)/2))</f>
        <v>0.66234701223902082</v>
      </c>
      <c r="L25" s="2" t="s">
        <v>50</v>
      </c>
      <c r="M25" s="2" t="s">
        <v>50</v>
      </c>
      <c r="N25" s="2">
        <f>ABS((F20-F22)/((F20+F22)/2))</f>
        <v>0.47661569371581647</v>
      </c>
      <c r="O25" s="2" t="s">
        <v>50</v>
      </c>
      <c r="P25" s="2">
        <f>ABS((F21-F22)/((F21+F22)/2))</f>
        <v>0.20164542668172286</v>
      </c>
    </row>
    <row r="26" spans="1:16" x14ac:dyDescent="0.25">
      <c r="A26" s="7" t="s">
        <v>28</v>
      </c>
      <c r="B26" s="7">
        <v>7</v>
      </c>
      <c r="C26" s="7" t="s">
        <v>4</v>
      </c>
      <c r="D26" s="10">
        <v>15.428000000000001</v>
      </c>
      <c r="E26" s="10">
        <v>1.2889999999999999</v>
      </c>
      <c r="F26" s="10">
        <v>8.25</v>
      </c>
      <c r="G26" s="10">
        <v>5.5289999999999999</v>
      </c>
      <c r="H26" s="10">
        <v>0.36</v>
      </c>
      <c r="J26" s="4" t="s">
        <v>47</v>
      </c>
      <c r="K26" s="2">
        <f>ABS((F24-F25)/((F24+F25)/2))</f>
        <v>0.33771699105733821</v>
      </c>
      <c r="L26" s="2">
        <f>ABS((F23-F26)/((F23+F26)/2))</f>
        <v>9.4041500095183653E-2</v>
      </c>
      <c r="M26" s="2">
        <f>ABS((F23-F24)/((F23+F24)/2))</f>
        <v>0.16820150027444042</v>
      </c>
      <c r="N26" s="2">
        <f>ABS((F24-F26)/((F24+F26)/2))</f>
        <v>7.4454428754813867E-2</v>
      </c>
      <c r="O26" s="2">
        <f>ABS((F23-F25)/((F23+F25)/2))</f>
        <v>0.17195748065659122</v>
      </c>
      <c r="P26" s="2">
        <f>ABS((F25-F26)/((F25+F26)/2))</f>
        <v>0.26492793411118731</v>
      </c>
    </row>
    <row r="27" spans="1:16" x14ac:dyDescent="0.25">
      <c r="A27" s="1" t="s">
        <v>29</v>
      </c>
      <c r="B27" s="1">
        <v>8</v>
      </c>
      <c r="C27" s="1" t="s">
        <v>4</v>
      </c>
      <c r="D27" s="8">
        <v>17.901</v>
      </c>
      <c r="E27" s="8">
        <v>0.41199999999999998</v>
      </c>
      <c r="F27" s="8">
        <v>9.6690000000000005</v>
      </c>
      <c r="G27" s="8">
        <v>6.9409999999999998</v>
      </c>
      <c r="H27" s="8">
        <v>0.878</v>
      </c>
      <c r="J27" s="4" t="s">
        <v>48</v>
      </c>
      <c r="K27" s="1" t="s">
        <v>50</v>
      </c>
      <c r="L27" s="2">
        <f>ABS((F27-F30)/((F27+F30)/2))</f>
        <v>4.4078008561915315E-2</v>
      </c>
      <c r="M27" s="2" t="s">
        <v>50</v>
      </c>
      <c r="N27" s="2" t="s">
        <v>50</v>
      </c>
      <c r="O27" s="2">
        <f>ABS((F27-F29)/((F27+F29)/2))</f>
        <v>1.6920473773265565E-2</v>
      </c>
      <c r="P27" s="2">
        <f>ABS((F29-F30)/((F29+F30)/2))</f>
        <v>6.098711097139254E-2</v>
      </c>
    </row>
    <row r="28" spans="1:16" x14ac:dyDescent="0.25">
      <c r="A28" s="1" t="s">
        <v>30</v>
      </c>
      <c r="B28" s="1">
        <v>8</v>
      </c>
      <c r="C28" s="1" t="s">
        <v>4</v>
      </c>
      <c r="D28" s="9"/>
      <c r="E28" s="9"/>
      <c r="F28" s="9"/>
      <c r="G28" s="9"/>
      <c r="H28" s="9"/>
    </row>
    <row r="29" spans="1:16" x14ac:dyDescent="0.25">
      <c r="A29" s="1" t="s">
        <v>31</v>
      </c>
      <c r="B29" s="1">
        <v>8</v>
      </c>
      <c r="C29" s="1" t="s">
        <v>6</v>
      </c>
      <c r="D29" s="9">
        <v>18.635999999999999</v>
      </c>
      <c r="E29" s="9">
        <v>1.454</v>
      </c>
      <c r="F29" s="9">
        <v>9.8339999999999996</v>
      </c>
      <c r="G29" s="9">
        <v>6.8570000000000002</v>
      </c>
      <c r="H29" s="9">
        <v>0.49</v>
      </c>
      <c r="J29" s="6" t="s">
        <v>55</v>
      </c>
      <c r="K29" s="3" t="s">
        <v>38</v>
      </c>
      <c r="L29" s="3" t="s">
        <v>37</v>
      </c>
      <c r="M29" s="3" t="s">
        <v>39</v>
      </c>
      <c r="N29" s="3" t="s">
        <v>41</v>
      </c>
      <c r="O29" s="3" t="s">
        <v>40</v>
      </c>
      <c r="P29" s="3" t="s">
        <v>49</v>
      </c>
    </row>
    <row r="30" spans="1:16" x14ac:dyDescent="0.25">
      <c r="A30" s="7" t="s">
        <v>32</v>
      </c>
      <c r="B30" s="7">
        <v>8</v>
      </c>
      <c r="C30" s="7" t="s">
        <v>4</v>
      </c>
      <c r="D30" s="10">
        <v>15.741</v>
      </c>
      <c r="E30" s="10">
        <v>2.1469999999999998</v>
      </c>
      <c r="F30" s="10">
        <v>9.2520000000000007</v>
      </c>
      <c r="G30" s="10">
        <v>4.0609999999999999</v>
      </c>
      <c r="H30" s="10">
        <v>0.28199999999999997</v>
      </c>
      <c r="J30" s="4" t="s">
        <v>42</v>
      </c>
      <c r="K30" s="2">
        <f>ABS((G4-G5)/((G4+G5)/2))</f>
        <v>0.39406858202038936</v>
      </c>
      <c r="L30" s="2">
        <f>ABS((G3-G6)/((G3+G6)/2))</f>
        <v>0.11199601791936289</v>
      </c>
      <c r="M30" s="2">
        <f>ABS((G3-G4)/((G3+G4)/2))</f>
        <v>0.132676923076923</v>
      </c>
      <c r="N30" s="2">
        <f>ABS((G4-G6)/((G4+G6)/2))</f>
        <v>2.0758017492711261E-2</v>
      </c>
      <c r="O30" s="2">
        <f>ABS((G3-G5)/((G3+G5)/2))</f>
        <v>0.51994927324163487</v>
      </c>
      <c r="P30" s="2">
        <f>ABS((G5-G6)/((G5+G6)/2))</f>
        <v>0.41398000186898415</v>
      </c>
    </row>
    <row r="31" spans="1:16" x14ac:dyDescent="0.25">
      <c r="J31" s="4" t="s">
        <v>43</v>
      </c>
      <c r="K31" s="1" t="s">
        <v>50</v>
      </c>
      <c r="L31" s="1" t="s">
        <v>50</v>
      </c>
      <c r="M31" s="2" t="s">
        <v>50</v>
      </c>
      <c r="N31" s="1" t="s">
        <v>50</v>
      </c>
      <c r="O31" s="1" t="s">
        <v>50</v>
      </c>
      <c r="P31" s="1" t="s">
        <v>50</v>
      </c>
    </row>
    <row r="32" spans="1:16" x14ac:dyDescent="0.25">
      <c r="J32" s="4" t="s">
        <v>44</v>
      </c>
      <c r="K32" s="1" t="s">
        <v>50</v>
      </c>
      <c r="L32" s="1" t="s">
        <v>50</v>
      </c>
      <c r="M32" s="1" t="s">
        <v>50</v>
      </c>
      <c r="N32" s="1" t="s">
        <v>50</v>
      </c>
      <c r="O32" s="1" t="s">
        <v>50</v>
      </c>
      <c r="P32" s="2" t="s">
        <v>50</v>
      </c>
    </row>
    <row r="33" spans="10:16" x14ac:dyDescent="0.25">
      <c r="J33" s="4" t="s">
        <v>45</v>
      </c>
      <c r="K33" s="2">
        <f>ABS((G16-G17)/((G16+G17)/2))</f>
        <v>5.8875374581350191E-2</v>
      </c>
      <c r="L33" s="2">
        <f>ABS((G15-G18)/((G15+G18)/2))</f>
        <v>0.32726673803837603</v>
      </c>
      <c r="M33" s="2">
        <f>ABS((G15-G16)/((G15+G16)/2))</f>
        <v>0.24803118288123457</v>
      </c>
      <c r="N33" s="2">
        <f>ABS((G16-G18)/((G16+G18)/2))</f>
        <v>8.0876795162509438E-2</v>
      </c>
      <c r="O33" s="2">
        <f>ABS((G15-G17)/((G15+G17)/2))</f>
        <v>0.18984889577683076</v>
      </c>
      <c r="P33" s="2">
        <f>ABS((G17-G18)/((G17+G18)/2))</f>
        <v>0.13958600476277699</v>
      </c>
    </row>
    <row r="34" spans="10:16" x14ac:dyDescent="0.25">
      <c r="J34" s="4" t="s">
        <v>46</v>
      </c>
      <c r="K34" s="2">
        <f>ABS((G20-G21)/((G20+G21)/2))</f>
        <v>0.31647237709072479</v>
      </c>
      <c r="L34" s="2" t="s">
        <v>50</v>
      </c>
      <c r="M34" s="2" t="s">
        <v>50</v>
      </c>
      <c r="N34" s="2">
        <f>ABS((G20-G22)/((G20+G22)/2))</f>
        <v>0.48121606948968509</v>
      </c>
      <c r="O34" s="2" t="s">
        <v>50</v>
      </c>
      <c r="P34" s="2">
        <f>ABS((G21-G22)/((G21+G22)/2))</f>
        <v>0.17126421754477716</v>
      </c>
    </row>
    <row r="35" spans="10:16" x14ac:dyDescent="0.25">
      <c r="J35" s="4" t="s">
        <v>47</v>
      </c>
      <c r="K35" s="2">
        <f>ABS((G24-G25)/((G24+G25)/2))</f>
        <v>0.20196864746627771</v>
      </c>
      <c r="L35" s="2">
        <f>ABS((G23-G26)/((G23+G26)/2))</f>
        <v>0.25145067698259194</v>
      </c>
      <c r="M35" s="2">
        <f>ABS((G23-G24)/((G23+G24)/2))</f>
        <v>0.13830479080858463</v>
      </c>
      <c r="N35" s="2">
        <f>ABS((G24-G26)/((G24+G26)/2))</f>
        <v>0.11413822770289637</v>
      </c>
      <c r="O35" s="2">
        <f>ABS((G23-G25)/((G23+G25)/2))</f>
        <v>0.33791368298819441</v>
      </c>
      <c r="P35" s="2">
        <f>ABS((G25-G26)/((G25+G26)/2))</f>
        <v>8.8339528049096755E-2</v>
      </c>
    </row>
    <row r="36" spans="10:16" x14ac:dyDescent="0.25">
      <c r="J36" s="4" t="s">
        <v>48</v>
      </c>
      <c r="K36" s="1" t="s">
        <v>50</v>
      </c>
      <c r="L36" s="2">
        <f>ABS((G27-G30)/((G27+G30)/2))</f>
        <v>0.5235411743319397</v>
      </c>
      <c r="M36" s="2" t="s">
        <v>50</v>
      </c>
      <c r="N36" s="2" t="s">
        <v>50</v>
      </c>
      <c r="O36" s="2">
        <f>ABS((G27-G29)/((G27+G29)/2))</f>
        <v>1.2175677634439721E-2</v>
      </c>
      <c r="P36" s="2">
        <f>ABS((G29-G30)/((G29+G30)/2))</f>
        <v>0.5121817182634183</v>
      </c>
    </row>
    <row r="38" spans="10:16" x14ac:dyDescent="0.25">
      <c r="J38" s="6" t="s">
        <v>56</v>
      </c>
      <c r="K38" s="3" t="s">
        <v>38</v>
      </c>
      <c r="L38" s="3" t="s">
        <v>37</v>
      </c>
      <c r="M38" s="3" t="s">
        <v>39</v>
      </c>
      <c r="N38" s="3" t="s">
        <v>41</v>
      </c>
      <c r="O38" s="3" t="s">
        <v>40</v>
      </c>
      <c r="P38" s="3" t="s">
        <v>49</v>
      </c>
    </row>
    <row r="39" spans="10:16" x14ac:dyDescent="0.25">
      <c r="J39" s="4" t="s">
        <v>42</v>
      </c>
      <c r="K39" s="2">
        <f>ABS((H4-H5)/((H4+H5)/2))</f>
        <v>0.40266222961730447</v>
      </c>
      <c r="L39" s="2">
        <f>ABS((H3-H6)/((H3+H6)/2))</f>
        <v>0.19955654101995557</v>
      </c>
      <c r="M39" s="2">
        <f>ABS((H3-H4)/((H3+H4)/2))</f>
        <v>0.16704288939051909</v>
      </c>
      <c r="N39" s="2">
        <f>ABS((H4-H6)/((H4+H6)/2))</f>
        <v>3.2786885245901669E-2</v>
      </c>
      <c r="O39" s="2">
        <f>ABS((H3-H5)/((H3+H5)/2))</f>
        <v>0.56028368794326222</v>
      </c>
      <c r="P39" s="2">
        <f>ABS((H5-H6)/((H5+H6)/2))</f>
        <v>0.37110016420361247</v>
      </c>
    </row>
    <row r="40" spans="10:16" x14ac:dyDescent="0.25">
      <c r="J40" s="4" t="s">
        <v>43</v>
      </c>
      <c r="K40" s="1" t="s">
        <v>50</v>
      </c>
      <c r="L40" s="1" t="s">
        <v>50</v>
      </c>
      <c r="M40" s="2" t="s">
        <v>50</v>
      </c>
      <c r="N40" s="1" t="s">
        <v>50</v>
      </c>
      <c r="O40" s="1" t="s">
        <v>50</v>
      </c>
      <c r="P40" s="1" t="s">
        <v>50</v>
      </c>
    </row>
    <row r="41" spans="10:16" x14ac:dyDescent="0.25">
      <c r="J41" s="4" t="s">
        <v>44</v>
      </c>
      <c r="K41" s="1" t="s">
        <v>50</v>
      </c>
      <c r="L41" s="1" t="s">
        <v>50</v>
      </c>
      <c r="M41" s="1" t="s">
        <v>50</v>
      </c>
      <c r="N41" s="1" t="s">
        <v>50</v>
      </c>
      <c r="O41" s="1" t="s">
        <v>50</v>
      </c>
      <c r="P41" s="2" t="s">
        <v>50</v>
      </c>
    </row>
    <row r="42" spans="10:16" x14ac:dyDescent="0.25">
      <c r="J42" s="4" t="s">
        <v>45</v>
      </c>
      <c r="K42" s="2">
        <f>ABS((H16-H17)/((H16+H17)/2))</f>
        <v>0.26024096385542167</v>
      </c>
      <c r="L42" s="2">
        <f>ABS((H15-H18)/((H15+H18)/2))</f>
        <v>0.15105740181268884</v>
      </c>
      <c r="M42" s="2">
        <f>ABS((H15-H16)/((H15+H16)/2))</f>
        <v>0.23902439024390248</v>
      </c>
      <c r="N42" s="2">
        <f>ABS((H16-H18)/((H16+H18)/2))</f>
        <v>0.38659217877094981</v>
      </c>
      <c r="O42" s="2">
        <f>ABS((H15-H17)/((H15+H17)/2))</f>
        <v>2.1551724137930935E-2</v>
      </c>
      <c r="P42" s="2">
        <f>ABS((H17-H18)/((H17+H18)/2))</f>
        <v>0.12961116650049861</v>
      </c>
    </row>
    <row r="43" spans="10:16" x14ac:dyDescent="0.25">
      <c r="J43" s="4" t="s">
        <v>46</v>
      </c>
      <c r="K43" s="2">
        <f>ABS((H20-H21)/((H20+H21)/2))</f>
        <v>0.33333333333333326</v>
      </c>
      <c r="L43" s="2" t="s">
        <v>50</v>
      </c>
      <c r="M43" s="2" t="s">
        <v>50</v>
      </c>
      <c r="N43" s="2">
        <f>ABS((H20-H22)/((H20+H22)/2))</f>
        <v>0.50079744816586935</v>
      </c>
      <c r="O43" s="2" t="s">
        <v>50</v>
      </c>
      <c r="P43" s="2">
        <f>ABS((H21-H22)/((H21+H22)/2))</f>
        <v>0.1747572815533982</v>
      </c>
    </row>
    <row r="44" spans="10:16" x14ac:dyDescent="0.25">
      <c r="J44" s="4" t="s">
        <v>47</v>
      </c>
      <c r="K44" s="2">
        <f>ABS((H24-H25)/((H24+H25)/2))</f>
        <v>0.45110821382007826</v>
      </c>
      <c r="L44" s="2">
        <f>ABS((H23-H26)/((H23+H26)/2))</f>
        <v>0.25705329153605005</v>
      </c>
      <c r="M44" s="2">
        <f>ABS((H23-H24)/((H23+H24)/2))</f>
        <v>6.6086956521739001E-2</v>
      </c>
      <c r="N44" s="2">
        <f>ABS((H24-H26)/((H24+H26)/2))</f>
        <v>0.19178082191780821</v>
      </c>
      <c r="O44" s="2">
        <f>ABS((H23-H25)/((H23+H25)/2))</f>
        <v>0.51336898395721908</v>
      </c>
      <c r="P44" s="2">
        <f>ABS((H25-H26)/((H25+H26)/2))</f>
        <v>0.26506024096385539</v>
      </c>
    </row>
    <row r="45" spans="10:16" x14ac:dyDescent="0.25">
      <c r="J45" s="4" t="s">
        <v>48</v>
      </c>
      <c r="K45" s="1" t="s">
        <v>50</v>
      </c>
      <c r="L45" s="2">
        <f>ABS((H27-H30)/((H27+H30)/2))</f>
        <v>1.027586206896552</v>
      </c>
      <c r="M45" s="2" t="s">
        <v>50</v>
      </c>
      <c r="N45" s="2" t="s">
        <v>50</v>
      </c>
      <c r="O45" s="2">
        <f>ABS((H27-H29)/((H27+H29)/2))</f>
        <v>0.56725146198830412</v>
      </c>
      <c r="P45" s="2">
        <f>ABS((H29-H30)/((H29+H30)/2))</f>
        <v>0.53886010362694303</v>
      </c>
    </row>
    <row r="123" spans="3:3" x14ac:dyDescent="0.25">
      <c r="C12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</vt:lpstr>
      <vt:lpstr>summer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2026-05-28T21:37:17Z</dcterms:created>
  <dcterms:modified xsi:type="dcterms:W3CDTF">2026-05-31T20:12:54Z</dcterms:modified>
</cp:coreProperties>
</file>